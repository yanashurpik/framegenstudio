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pots" sheetId="2" state="visible" r:id="rId4"/>
    <sheet name="Themes" sheetId="3" state="visible" r:id="rId5"/>
    <sheet name="Hooks" sheetId="4" state="visible" r:id="rId6"/>
    <sheet name="Ref" sheetId="5" state="visible" r:id="rId7"/>
  </sheets>
  <definedNames>
    <definedName function="false" hidden="true" localSheetId="3" name="_xlnm._FilterDatabase" vbProcedure="false">Hooks!$A$1:$I$401</definedName>
    <definedName function="false" hidden="true" localSheetId="1" name="_xlnm._FilterDatabase" vbProcedure="false">Spots!$A$4:$O$204</definedName>
    <definedName function="false" hidden="true" localSheetId="2" name="_xlnm._FilterDatabase" vbProcedure="false">Themes!$A$1:$K$61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Live count of spots with Status = Approved.
This is the only number you need to check.</t>
        </r>
      </text>
    </comment>
  </commentList>
</comments>
</file>

<file path=xl/sharedStrings.xml><?xml version="1.0" encoding="utf-8"?>
<sst xmlns="http://schemas.openxmlformats.org/spreadsheetml/2006/main" count="163" uniqueCount="116">
  <si>
    <t xml:space="preserve">FrameGen content tracker</t>
  </si>
  <si>
    <t xml:space="preserve">Three tabs. Spots is the one you live in.</t>
  </si>
  <si>
    <t xml:space="preserve">HOW IT WORKS</t>
  </si>
  <si>
    <t xml:space="preserve">Every video is one row on Spots. Its Status says where it is and who owns it. Two statuses are handoffs: Generated means it is the editor's, Review means it is back with you. Nothing else needs discussing.</t>
  </si>
  <si>
    <t xml:space="preserve">THREE RULES</t>
  </si>
  <si>
    <t xml:space="preserve">1.  Use the dropdowns. Never type into Status, Format or Theme. One trailing space and the counts stop working.</t>
  </si>
  <si>
    <t xml:space="preserve">2.  Use Filter views, not filters. Data ▸ Filter views ▸ Create new. A filter view is yours alone — a plain filter changes what everyone else sees. Save three: Editor queue (Status = Generated or Editing), Review queue (Status = Review), Buffer (Status = Approved).</t>
  </si>
  <si>
    <t xml:space="preserve">3.  Never delete a Posted row. It is your performance history, and it is what makes the Hooks tab smarter each month.</t>
  </si>
  <si>
    <t xml:space="preserve">THE ONLY NUMBER TO CHECK</t>
  </si>
  <si>
    <t xml:space="preserve">Top-left of Spots: Ready to post. Hold it at 8 — two weeks of runway. It turns red under 6, which is your signal to brief the next theme block. Nothing else on this file needs a weekly glance.</t>
  </si>
  <si>
    <t xml:space="preserve">WHAT YOU FILL IN vs WHAT FILLS ITSELF</t>
  </si>
  <si>
    <t xml:space="preserve">You fill in — columns A to L, all next to each other on purpose:  Theme, Spot #, Hook ID, Slug, Format, Status, Prompt, Editor notes, Drive file, Publish date, Views, Saves. That block is contiguous so you can paste a whole new theme in from spots.csv in one go.</t>
  </si>
  <si>
    <t xml:space="preserve">Fills itself — columns M, N, O, marked with red headers:  Hook text, File name, Owner. Also Spots done, % done, Times used, Avg views on the other tabs. Leave those alone; overwriting one breaks the column.</t>
  </si>
  <si>
    <t xml:space="preserve">FILE NAMING</t>
  </si>
  <si>
    <t xml:space="preserve">Column N builds the name for you from the theme code, spot number and slug — T01_03_my-editor-quit_9x16. Copy it onto the file in Drive so the file and the row always point at each other.</t>
  </si>
  <si>
    <t xml:space="preserve">SETUP, ONCE</t>
  </si>
  <si>
    <t xml:space="preserve">Upload to Drive ▸ open with Google Sheets ▸ File ▸ Save as Google Sheets. Share with the editor as Editor. Delete the example rows (Spots 5–7, Themes row 2) once your first real block is in.</t>
  </si>
  <si>
    <t xml:space="preserve">The Ref tab holds the dropdown lists. Edit them there and the dropdowns follow.</t>
  </si>
  <si>
    <t xml:space="preserve">Ready to post</t>
  </si>
  <si>
    <t xml:space="preserve">In production</t>
  </si>
  <si>
    <t xml:space="preserve">Posted</t>
  </si>
  <si>
    <t xml:space="preserve">Buffer</t>
  </si>
  <si>
    <t xml:space="preserve">Keep Ready to post at 8. Under 6, brief the next theme block.</t>
  </si>
  <si>
    <t xml:space="preserve">Everything below is one row per video. Never delete a Posted row — it is your performance history.</t>
  </si>
  <si>
    <t xml:space="preserve">Theme</t>
  </si>
  <si>
    <t xml:space="preserve">Spot #</t>
  </si>
  <si>
    <t xml:space="preserve">Hook ID</t>
  </si>
  <si>
    <t xml:space="preserve">Slug</t>
  </si>
  <si>
    <t xml:space="preserve">Format</t>
  </si>
  <si>
    <t xml:space="preserve">Status</t>
  </si>
  <si>
    <t xml:space="preserve">Prompt</t>
  </si>
  <si>
    <t xml:space="preserve">Editor notes</t>
  </si>
  <si>
    <t xml:space="preserve">Drive file</t>
  </si>
  <si>
    <t xml:space="preserve">Publish date</t>
  </si>
  <si>
    <t xml:space="preserve">Views</t>
  </si>
  <si>
    <t xml:space="preserve">Saves</t>
  </si>
  <si>
    <t xml:space="preserve">Hook text</t>
  </si>
  <si>
    <t xml:space="preserve">File name</t>
  </si>
  <si>
    <t xml:space="preserve">Owner</t>
  </si>
  <si>
    <t xml:space="preserve">T01</t>
  </si>
  <si>
    <t xml:space="preserve">H001</t>
  </si>
  <si>
    <t xml:space="preserve">cheaper-than-a-shoot</t>
  </si>
  <si>
    <t xml:space="preserve">Product review</t>
  </si>
  <si>
    <t xml:space="preserve">Approved</t>
  </si>
  <si>
    <t xml:space="preserve">Handheld phone-style, woman 28 holding sunglasses to camera, plain north-facing daylight, uneven real skin texture, 9:16</t>
  </si>
  <si>
    <t xml:space="preserve">Graded, captions burned in</t>
  </si>
  <si>
    <t xml:space="preserve">https://drive.google.com/…</t>
  </si>
  <si>
    <t xml:space="preserve">H002</t>
  </si>
  <si>
    <t xml:space="preserve">what-140-dollars-buys</t>
  </si>
  <si>
    <t xml:space="preserve">Unboxing</t>
  </si>
  <si>
    <t xml:space="preserve">Editing</t>
  </si>
  <si>
    <t xml:space="preserve">Overhead unboxing on raw linen, hands only, flat overcast daylight, matte case opening, 9:16</t>
  </si>
  <si>
    <t xml:space="preserve">Tighter cut at 0:04</t>
  </si>
  <si>
    <t xml:space="preserve">H003</t>
  </si>
  <si>
    <t xml:space="preserve">my-editor-quit</t>
  </si>
  <si>
    <t xml:space="preserve">UGC entertainment</t>
  </si>
  <si>
    <t xml:space="preserve">Generated</t>
  </si>
  <si>
    <t xml:space="preserve">Talking head at desk, lived-in office, laughing mid-sentence, natural handheld drift, cool daylight, 9:16</t>
  </si>
  <si>
    <t xml:space="preserve">↑ rows 5–7 are examples — overwrite or delete them</t>
  </si>
  <si>
    <t xml:space="preserve">Product / theme</t>
  </si>
  <si>
    <t xml:space="preserve">Angle</t>
  </si>
  <si>
    <t xml:space="preserve">Visual DNA link</t>
  </si>
  <si>
    <t xml:space="preserve">Drive folder</t>
  </si>
  <si>
    <t xml:space="preserve">Spots planned</t>
  </si>
  <si>
    <t xml:space="preserve">Spots done</t>
  </si>
  <si>
    <t xml:space="preserve">% done</t>
  </si>
  <si>
    <t xml:space="preserve">Started</t>
  </si>
  <si>
    <t xml:space="preserve">Notes</t>
  </si>
  <si>
    <t xml:space="preserve">Sunglasses — summer drop</t>
  </si>
  <si>
    <t xml:space="preserve">Price shock: studio quality without the shoot</t>
  </si>
  <si>
    <t xml:space="preserve">Example row — overwrite with your first real block</t>
  </si>
  <si>
    <t xml:space="preserve">Source</t>
  </si>
  <si>
    <t xml:space="preserve">Segment</t>
  </si>
  <si>
    <t xml:space="preserve">Pain point</t>
  </si>
  <si>
    <t xml:space="preserve">Best format</t>
  </si>
  <si>
    <t xml:space="preserve">Times used</t>
  </si>
  <si>
    <t xml:space="preserve">Avg views when used</t>
  </si>
  <si>
    <t xml:space="preserve">Approved hooks in bank</t>
  </si>
  <si>
    <t xml:space="preserve">I paid $3,000 for a UGC video. Then I made this one for $140.</t>
  </si>
  <si>
    <t xml:space="preserve">Pain-point matrix</t>
  </si>
  <si>
    <t xml:space="preserve">DTC founders</t>
  </si>
  <si>
    <t xml:space="preserve">Cost of creator content</t>
  </si>
  <si>
    <t xml:space="preserve">This is what $140 of AI video actually looks like.</t>
  </si>
  <si>
    <t xml:space="preserve">E-commerce</t>
  </si>
  <si>
    <t xml:space="preserve">Fear it looks cheap</t>
  </si>
  <si>
    <t xml:space="preserve">Unused hooks. Hold a floor of 30.</t>
  </si>
  <si>
    <t xml:space="preserve">My editor quit two days before the launch. Here's what I did.</t>
  </si>
  <si>
    <t xml:space="preserve">Original</t>
  </si>
  <si>
    <t xml:space="preserve">Missed deadlines mid-campaign</t>
  </si>
  <si>
    <t xml:space="preserve">H004</t>
  </si>
  <si>
    <t xml:space="preserve">Nobody in this ad exists. Watch it anyway.</t>
  </si>
  <si>
    <t xml:space="preserve">Media buyers</t>
  </si>
  <si>
    <t xml:space="preserve">Will it pass ad review</t>
  </si>
  <si>
    <t xml:space="preserve">H005</t>
  </si>
  <si>
    <t xml:space="preserve">12 ad variations. One product. Forty minutes.</t>
  </si>
  <si>
    <t xml:space="preserve">Volume of creative needed</t>
  </si>
  <si>
    <t xml:space="preserve">H006</t>
  </si>
  <si>
    <t xml:space="preserve">Your competitors are already testing 30 creatives a week. You're testing three.</t>
  </si>
  <si>
    <t xml:space="preserve">Falling behind on testing speed</t>
  </si>
  <si>
    <t xml:space="preserve">↑ six starter hooks — add the rest from the monthly competitor scrape</t>
  </si>
  <si>
    <t xml:space="preserve">Lists that feed the dropdowns. Edit here, the dropdowns follow.</t>
  </si>
  <si>
    <t xml:space="preserve">Theme status</t>
  </si>
  <si>
    <t xml:space="preserve">Spot status</t>
  </si>
  <si>
    <t xml:space="preserve">Competitor outlier</t>
  </si>
  <si>
    <t xml:space="preserve">Planned</t>
  </si>
  <si>
    <t xml:space="preserve">Idea</t>
  </si>
  <si>
    <t xml:space="preserve">Yana</t>
  </si>
  <si>
    <t xml:space="preserve">Briefed</t>
  </si>
  <si>
    <t xml:space="preserve">Prompted</t>
  </si>
  <si>
    <t xml:space="preserve">ASMR</t>
  </si>
  <si>
    <t xml:space="preserve">Editor</t>
  </si>
  <si>
    <t xml:space="preserve">Street interview</t>
  </si>
  <si>
    <t xml:space="preserve">Complete</t>
  </si>
  <si>
    <t xml:space="preserve">Archived</t>
  </si>
  <si>
    <t xml:space="preserve">Review</t>
  </si>
  <si>
    <t xml:space="preserve">—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</si>
</sst>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#,##0"/>
    <numFmt numFmtId="167" formatCode="yyyy\-mm\-dd"/>
    <numFmt numFmtId="168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11111"/>
      <name val="Arial"/>
      <family val="0"/>
      <charset val="1"/>
    </font>
    <font>
      <sz val="12"/>
      <color rgb="FF7A706A"/>
      <name val="Arial"/>
      <family val="0"/>
      <charset val="1"/>
    </font>
    <font>
      <b val="true"/>
      <sz val="9"/>
      <color rgb="FF6E1714"/>
      <name val="Arial"/>
      <family val="0"/>
      <charset val="1"/>
    </font>
    <font>
      <sz val="10"/>
      <color rgb="FF111111"/>
      <name val="Arial"/>
      <family val="0"/>
      <charset val="1"/>
    </font>
    <font>
      <i val="true"/>
      <sz val="10"/>
      <color rgb="FF7A706A"/>
      <name val="Arial"/>
      <family val="0"/>
      <charset val="1"/>
    </font>
    <font>
      <b val="true"/>
      <sz val="8"/>
      <color rgb="FF7A706A"/>
      <name val="Arial"/>
      <family val="0"/>
      <charset val="1"/>
    </font>
    <font>
      <i val="true"/>
      <sz val="9"/>
      <color rgb="FF7A706A"/>
      <name val="Arial"/>
      <family val="0"/>
      <charset val="1"/>
    </font>
    <font>
      <b val="true"/>
      <sz val="20"/>
      <color rgb="FF111111"/>
      <name val="Arial"/>
      <family val="0"/>
      <charset val="1"/>
    </font>
    <font>
      <b val="true"/>
      <sz val="11"/>
      <color rgb="FF11111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7A706A"/>
      <name val="Arial"/>
      <family val="0"/>
      <charset val="1"/>
    </font>
    <font>
      <sz val="10"/>
      <name val="Arial"/>
      <family val="2"/>
    </font>
    <font>
      <b val="true"/>
      <sz val="10"/>
      <color rgb="FF1111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D24034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7CD"/>
      </left>
      <right style="thin">
        <color rgb="FFDDD7CD"/>
      </right>
      <top style="thin">
        <color rgb="FFDDD7CD"/>
      </top>
      <bottom style="thin">
        <color rgb="FFDDD7C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11111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7A706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6EBD6"/>
          <bgColor rgb="FF000000"/>
        </patternFill>
      </fill>
    </dxf>
    <dxf>
      <fill>
        <patternFill patternType="solid">
          <fgColor rgb="FFFFD9D3"/>
          <bgColor rgb="FF000000"/>
        </patternFill>
      </fill>
    </dxf>
    <dxf>
      <fill>
        <patternFill patternType="solid">
          <fgColor rgb="FFFFF0CC"/>
          <bgColor rgb="FF000000"/>
        </patternFill>
      </fill>
    </dxf>
    <dxf>
      <fill>
        <patternFill patternType="solid">
          <fgColor rgb="FF1E5B2A"/>
          <bgColor rgb="FF000000"/>
        </patternFill>
      </fill>
    </dxf>
    <dxf>
      <fill>
        <patternFill patternType="solid">
          <fgColor rgb="FF6E1714"/>
          <bgColor rgb="FF000000"/>
        </patternFill>
      </fill>
    </dxf>
    <dxf>
      <fill>
        <patternFill patternType="solid">
          <fgColor rgb="FFD24034"/>
          <bgColor rgb="FF000000"/>
        </patternFill>
      </fill>
    </dxf>
    <dxf>
      <font>
        <name val="Arial"/>
        <charset val="1"/>
        <family val="0"/>
        <b val="1"/>
        <color rgb="FF7A706A"/>
        <sz val="10"/>
      </font>
      <fill>
        <patternFill>
          <bgColor rgb="FFF2EFE9"/>
        </patternFill>
      </fill>
    </dxf>
    <dxf>
      <font>
        <name val="Arial"/>
        <charset val="1"/>
        <family val="0"/>
        <b val="1"/>
        <color rgb="FF111111"/>
        <sz val="10"/>
      </font>
      <fill>
        <patternFill>
          <bgColor rgb="FFF2EFE9"/>
        </patternFill>
      </fill>
    </dxf>
    <dxf>
      <font>
        <name val="Arial"/>
        <charset val="1"/>
        <family val="0"/>
        <b val="1"/>
        <color rgb="FF6E1714"/>
        <sz val="10"/>
      </font>
      <fill>
        <patternFill>
          <bgColor rgb="FFFFD9D3"/>
        </patternFill>
      </fill>
    </dxf>
    <dxf>
      <font>
        <name val="Arial"/>
        <charset val="1"/>
        <family val="0"/>
        <b val="1"/>
        <color rgb="FF111111"/>
        <sz val="10"/>
      </font>
      <fill>
        <patternFill>
          <bgColor rgb="FFFFF0CC"/>
        </patternFill>
      </fill>
    </dxf>
    <dxf>
      <font>
        <name val="Arial"/>
        <charset val="1"/>
        <family val="0"/>
        <b val="1"/>
        <color rgb="FF1E5B2A"/>
        <sz val="10"/>
      </font>
      <fill>
        <patternFill>
          <bgColor rgb="FFD6EBD6"/>
        </patternFill>
      </fill>
    </dxf>
    <dxf>
      <font>
        <name val="Arial"/>
        <charset val="1"/>
        <family val="0"/>
        <b val="1"/>
        <color rgb="FF7A706A"/>
        <sz val="10"/>
      </font>
      <fill>
        <patternFill>
          <bgColor rgb="FFEDEDED"/>
        </patternFill>
      </fill>
    </dxf>
    <dxf>
      <font>
        <name val="Arial"/>
        <charset val="1"/>
        <family val="0"/>
        <b val="1"/>
        <color rgb="FFD24034"/>
        <sz val="20"/>
      </font>
    </dxf>
    <dxf>
      <font>
        <name val="Arial"/>
        <charset val="1"/>
        <family val="0"/>
        <b val="1"/>
        <color rgb="FF6E1714"/>
        <sz val="11"/>
      </font>
      <fill>
        <patternFill>
          <bgColor rgb="FFFFD9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E1714"/>
      <rgbColor rgb="FF008000"/>
      <rgbColor rgb="FF000080"/>
      <rgbColor rgb="FF808000"/>
      <rgbColor rgb="FF800080"/>
      <rgbColor rgb="FF008080"/>
      <rgbColor rgb="FFC0C0C0"/>
      <rgbColor rgb="FF7A706A"/>
      <rgbColor rgb="FF9999FF"/>
      <rgbColor rgb="FFD24034"/>
      <rgbColor rgb="FFFFF0CC"/>
      <rgbColor rgb="FFEDEDED"/>
      <rgbColor rgb="FF660066"/>
      <rgbColor rgb="FFFF8080"/>
      <rgbColor rgb="FF0066CC"/>
      <rgbColor rgb="FFDDD7C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EFE9"/>
      <rgbColor rgb="FFD6EBD6"/>
      <rgbColor rgb="FFFFFF99"/>
      <rgbColor rgb="FF99CCFF"/>
      <rgbColor rgb="FFFF99CC"/>
      <rgbColor rgb="FFCC99FF"/>
      <rgbColor rgb="FFFFD9D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1E5B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4"/>
  </cols>
  <sheetData>
    <row r="2" customFormat="false" ht="30" hidden="false" customHeight="true" outlineLevel="0" collapsed="false">
      <c r="B2" s="1" t="s">
        <v>0</v>
      </c>
    </row>
    <row r="3" customFormat="false" ht="19.5" hidden="false" customHeight="true" outlineLevel="0" collapsed="false">
      <c r="B3" s="2" t="s">
        <v>1</v>
      </c>
    </row>
    <row r="4" customFormat="false" ht="9" hidden="false" customHeight="true" outlineLevel="0" collapsed="false"/>
    <row r="5" customFormat="false" ht="19.5" hidden="false" customHeight="true" outlineLevel="0" collapsed="false">
      <c r="B5" s="3" t="s">
        <v>2</v>
      </c>
    </row>
    <row r="6" customFormat="false" ht="39" hidden="false" customHeight="true" outlineLevel="0" collapsed="false">
      <c r="B6" s="4" t="s">
        <v>3</v>
      </c>
    </row>
    <row r="7" customFormat="false" ht="9" hidden="false" customHeight="true" outlineLevel="0" collapsed="false"/>
    <row r="8" customFormat="false" ht="19.5" hidden="false" customHeight="true" outlineLevel="0" collapsed="false">
      <c r="B8" s="3" t="s">
        <v>4</v>
      </c>
    </row>
    <row r="9" customFormat="false" ht="25.5" hidden="false" customHeight="true" outlineLevel="0" collapsed="false">
      <c r="B9" s="4" t="s">
        <v>5</v>
      </c>
    </row>
    <row r="10" customFormat="false" ht="39" hidden="false" customHeight="true" outlineLevel="0" collapsed="false">
      <c r="B10" s="4" t="s">
        <v>6</v>
      </c>
    </row>
    <row r="11" customFormat="false" ht="25.5" hidden="false" customHeight="true" outlineLevel="0" collapsed="false">
      <c r="B11" s="4" t="s">
        <v>7</v>
      </c>
    </row>
    <row r="12" customFormat="false" ht="9" hidden="false" customHeight="true" outlineLevel="0" collapsed="false"/>
    <row r="13" customFormat="false" ht="19.5" hidden="false" customHeight="true" outlineLevel="0" collapsed="false">
      <c r="B13" s="3" t="s">
        <v>8</v>
      </c>
    </row>
    <row r="14" customFormat="false" ht="39" hidden="false" customHeight="true" outlineLevel="0" collapsed="false">
      <c r="B14" s="4" t="s">
        <v>9</v>
      </c>
    </row>
    <row r="15" customFormat="false" ht="9" hidden="false" customHeight="true" outlineLevel="0" collapsed="false"/>
    <row r="16" customFormat="false" ht="19.5" hidden="false" customHeight="true" outlineLevel="0" collapsed="false">
      <c r="B16" s="3" t="s">
        <v>10</v>
      </c>
    </row>
    <row r="17" customFormat="false" ht="39" hidden="false" customHeight="true" outlineLevel="0" collapsed="false">
      <c r="B17" s="4" t="s">
        <v>11</v>
      </c>
    </row>
    <row r="18" customFormat="false" ht="39" hidden="false" customHeight="true" outlineLevel="0" collapsed="false">
      <c r="B18" s="4" t="s">
        <v>12</v>
      </c>
    </row>
    <row r="19" customFormat="false" ht="9" hidden="false" customHeight="true" outlineLevel="0" collapsed="false"/>
    <row r="20" customFormat="false" ht="19.5" hidden="false" customHeight="true" outlineLevel="0" collapsed="false">
      <c r="B20" s="3" t="s">
        <v>13</v>
      </c>
    </row>
    <row r="21" customFormat="false" ht="25.5" hidden="false" customHeight="true" outlineLevel="0" collapsed="false">
      <c r="B21" s="4" t="s">
        <v>14</v>
      </c>
    </row>
    <row r="22" customFormat="false" ht="9" hidden="false" customHeight="true" outlineLevel="0" collapsed="false"/>
    <row r="23" customFormat="false" ht="19.5" hidden="false" customHeight="true" outlineLevel="0" collapsed="false">
      <c r="B23" s="3" t="s">
        <v>15</v>
      </c>
    </row>
    <row r="24" customFormat="false" ht="25.5" hidden="false" customHeight="true" outlineLevel="0" collapsed="false">
      <c r="B24" s="4" t="s">
        <v>16</v>
      </c>
    </row>
    <row r="25" customFormat="false" ht="9" hidden="false" customHeight="true" outlineLevel="0" collapsed="false"/>
    <row r="26" customFormat="false" ht="15" hidden="false" customHeight="false" outlineLevel="0" collapsed="false">
      <c r="B26" s="5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26"/>
    <col collapsed="false" customWidth="true" hidden="false" outlineLevel="0" max="5" min="5" style="0" width="18"/>
    <col collapsed="false" customWidth="true" hidden="false" outlineLevel="0" max="6" min="6" style="0" width="13"/>
    <col collapsed="false" customWidth="true" hidden="false" outlineLevel="0" max="7" min="7" style="0" width="52"/>
    <col collapsed="false" customWidth="true" hidden="false" outlineLevel="0" max="8" min="8" style="0" width="30"/>
    <col collapsed="false" customWidth="true" hidden="false" outlineLevel="0" max="9" min="9" style="0" width="26"/>
    <col collapsed="false" customWidth="true" hidden="false" outlineLevel="0" max="10" min="10" style="0" width="13"/>
    <col collapsed="false" customWidth="true" hidden="false" outlineLevel="0" max="12" min="11" style="0" width="9"/>
    <col collapsed="false" customWidth="true" hidden="false" outlineLevel="0" max="13" min="13" style="0" width="44"/>
    <col collapsed="false" customWidth="true" hidden="false" outlineLevel="0" max="14" min="14" style="0" width="34"/>
    <col collapsed="false" customWidth="true" hidden="false" outlineLevel="0" max="15" min="15" style="0" width="9"/>
  </cols>
  <sheetData>
    <row r="1" customFormat="false" ht="15" hidden="false" customHeight="false" outlineLevel="0" collapsed="false">
      <c r="A1" s="6" t="s">
        <v>18</v>
      </c>
      <c r="C1" s="6" t="s">
        <v>19</v>
      </c>
      <c r="E1" s="6" t="s">
        <v>20</v>
      </c>
      <c r="G1" s="6" t="s">
        <v>21</v>
      </c>
      <c r="I1" s="7" t="s">
        <v>22</v>
      </c>
    </row>
    <row r="2" customFormat="false" ht="24.45" hidden="false" customHeight="false" outlineLevel="0" collapsed="false">
      <c r="A2" s="8" t="n">
        <f aca="false">COUNTIF($F:$F,"Approved")</f>
        <v>1</v>
      </c>
      <c r="C2" s="8" t="n">
        <f aca="false">COUNTIF($F:$F,"Generated")+COUNTIF($F:$F,"Editing")+COUNTIF($F:$F,"Review")</f>
        <v>2</v>
      </c>
      <c r="E2" s="8" t="n">
        <f aca="false">COUNTIF($F:$F,"Posted")</f>
        <v>0</v>
      </c>
      <c r="G2" s="9" t="str">
        <f aca="false">IF($A$2&lt;6,"LOW — brief a block","OK")</f>
        <v>LOW — brief a block</v>
      </c>
      <c r="I2" s="7" t="s">
        <v>23</v>
      </c>
    </row>
    <row r="4" customFormat="false" ht="21.75" hidden="false" customHeight="true" outlineLevel="0" collapsed="false">
      <c r="A4" s="10" t="s">
        <v>24</v>
      </c>
      <c r="B4" s="10" t="s">
        <v>25</v>
      </c>
      <c r="C4" s="10" t="s">
        <v>26</v>
      </c>
      <c r="D4" s="10" t="s">
        <v>27</v>
      </c>
      <c r="E4" s="10" t="s">
        <v>28</v>
      </c>
      <c r="F4" s="10" t="s">
        <v>29</v>
      </c>
      <c r="G4" s="10" t="s">
        <v>30</v>
      </c>
      <c r="H4" s="10" t="s">
        <v>31</v>
      </c>
      <c r="I4" s="10" t="s">
        <v>32</v>
      </c>
      <c r="J4" s="10" t="s">
        <v>33</v>
      </c>
      <c r="K4" s="10" t="s">
        <v>34</v>
      </c>
      <c r="L4" s="10" t="s">
        <v>35</v>
      </c>
      <c r="M4" s="11" t="s">
        <v>36</v>
      </c>
      <c r="N4" s="11" t="s">
        <v>37</v>
      </c>
      <c r="O4" s="11" t="s">
        <v>38</v>
      </c>
    </row>
    <row r="5" customFormat="false" ht="35.05" hidden="false" customHeight="false" outlineLevel="0" collapsed="false">
      <c r="A5" s="12" t="s">
        <v>39</v>
      </c>
      <c r="B5" s="13" t="n">
        <v>1</v>
      </c>
      <c r="C5" s="12" t="s">
        <v>40</v>
      </c>
      <c r="D5" s="12" t="s">
        <v>41</v>
      </c>
      <c r="E5" s="12" t="s">
        <v>42</v>
      </c>
      <c r="F5" s="12" t="s">
        <v>43</v>
      </c>
      <c r="G5" s="14" t="s">
        <v>44</v>
      </c>
      <c r="H5" s="14" t="s">
        <v>45</v>
      </c>
      <c r="I5" s="12" t="s">
        <v>46</v>
      </c>
      <c r="J5" s="15"/>
      <c r="K5" s="13"/>
      <c r="L5" s="13"/>
      <c r="M5" s="16" t="str">
        <f aca="false">IFERROR(INDEX(Hooks!$B:$B,MATCH($C5,Hooks!$A:$A,0)),"")</f>
        <v>I paid $3,000 for a UGC video. Then I made this one for $140.</v>
      </c>
      <c r="N5" s="17" t="str">
        <f aca="false">IF($A5="","",$A5&amp;"_"&amp;TEXT($B5,"00")&amp;"_"&amp;$D5&amp;"_9x16")</f>
        <v>T01_01_cheaper-than-a-shoot_9x16</v>
      </c>
      <c r="O5" s="17" t="str">
        <f aca="false">IFERROR(INDEX(Ref!$G:$G,MATCH($F5,Ref!$F:$F,0)),"")</f>
        <v>Yana</v>
      </c>
    </row>
    <row r="6" customFormat="false" ht="23.85" hidden="false" customHeight="false" outlineLevel="0" collapsed="false">
      <c r="A6" s="12" t="s">
        <v>39</v>
      </c>
      <c r="B6" s="13" t="n">
        <v>2</v>
      </c>
      <c r="C6" s="12" t="s">
        <v>47</v>
      </c>
      <c r="D6" s="12" t="s">
        <v>48</v>
      </c>
      <c r="E6" s="12" t="s">
        <v>49</v>
      </c>
      <c r="F6" s="12" t="s">
        <v>50</v>
      </c>
      <c r="G6" s="14" t="s">
        <v>51</v>
      </c>
      <c r="H6" s="14" t="s">
        <v>52</v>
      </c>
      <c r="I6" s="12" t="s">
        <v>46</v>
      </c>
      <c r="J6" s="15"/>
      <c r="K6" s="13"/>
      <c r="L6" s="13"/>
      <c r="M6" s="16" t="str">
        <f aca="false">IFERROR(INDEX(Hooks!$B:$B,MATCH($C6,Hooks!$A:$A,0)),"")</f>
        <v>This is what $140 of AI video actually looks like.</v>
      </c>
      <c r="N6" s="17" t="str">
        <f aca="false">IF($A6="","",$A6&amp;"_"&amp;TEXT($B6,"00")&amp;"_"&amp;$D6&amp;"_9x16")</f>
        <v>T01_02_what-140-dollars-buys_9x16</v>
      </c>
      <c r="O6" s="17" t="str">
        <f aca="false">IFERROR(INDEX(Ref!$G:$G,MATCH($F6,Ref!$F:$F,0)),"")</f>
        <v>Editor</v>
      </c>
    </row>
    <row r="7" customFormat="false" ht="23.85" hidden="false" customHeight="false" outlineLevel="0" collapsed="false">
      <c r="A7" s="12" t="s">
        <v>39</v>
      </c>
      <c r="B7" s="13" t="n">
        <v>3</v>
      </c>
      <c r="C7" s="12" t="s">
        <v>53</v>
      </c>
      <c r="D7" s="12" t="s">
        <v>54</v>
      </c>
      <c r="E7" s="12" t="s">
        <v>55</v>
      </c>
      <c r="F7" s="12" t="s">
        <v>56</v>
      </c>
      <c r="G7" s="14" t="s">
        <v>57</v>
      </c>
      <c r="H7" s="14"/>
      <c r="I7" s="12"/>
      <c r="J7" s="15"/>
      <c r="K7" s="13"/>
      <c r="L7" s="13"/>
      <c r="M7" s="16" t="str">
        <f aca="false">IFERROR(INDEX(Hooks!$B:$B,MATCH($C7,Hooks!$A:$A,0)),"")</f>
        <v>My editor quit two days before the launch. Here's what I did.</v>
      </c>
      <c r="N7" s="17" t="str">
        <f aca="false">IF($A7="","",$A7&amp;"_"&amp;TEXT($B7,"00")&amp;"_"&amp;$D7&amp;"_9x16")</f>
        <v>T01_03_my-editor-quit_9x16</v>
      </c>
      <c r="O7" s="17" t="str">
        <f aca="false">IFERROR(INDEX(Ref!$G:$G,MATCH($F7,Ref!$F:$F,0)),"")</f>
        <v>Editor</v>
      </c>
    </row>
    <row r="8" customFormat="false" ht="15" hidden="false" customHeight="false" outlineLevel="0" collapsed="false">
      <c r="A8" s="12"/>
      <c r="B8" s="13"/>
      <c r="C8" s="12"/>
      <c r="D8" s="12"/>
      <c r="E8" s="12"/>
      <c r="F8" s="12"/>
      <c r="G8" s="14"/>
      <c r="H8" s="14"/>
      <c r="I8" s="12"/>
      <c r="J8" s="15"/>
      <c r="K8" s="13"/>
      <c r="L8" s="13"/>
      <c r="M8" s="16" t="str">
        <f aca="false">IFERROR(INDEX(Hooks!$B:$B,MATCH($C8,Hooks!$A:$A,0)),"")</f>
        <v/>
      </c>
      <c r="N8" s="17" t="str">
        <f aca="false">IF($A8="","",$A8&amp;"_"&amp;TEXT($B8,"00")&amp;"_"&amp;$D8&amp;"_9x16")</f>
        <v/>
      </c>
      <c r="O8" s="17" t="str">
        <f aca="false">IFERROR(INDEX(Ref!$G:$G,MATCH($F8,Ref!$F:$F,0)),"")</f>
        <v/>
      </c>
    </row>
    <row r="9" customFormat="false" ht="15" hidden="false" customHeight="false" outlineLevel="0" collapsed="false">
      <c r="A9" s="18" t="s">
        <v>58</v>
      </c>
      <c r="B9" s="13"/>
      <c r="C9" s="12"/>
      <c r="D9" s="12"/>
      <c r="E9" s="12"/>
      <c r="F9" s="12"/>
      <c r="G9" s="14"/>
      <c r="H9" s="14"/>
      <c r="I9" s="12"/>
      <c r="J9" s="15"/>
      <c r="K9" s="13"/>
      <c r="L9" s="13"/>
      <c r="M9" s="16" t="str">
        <f aca="false">IFERROR(INDEX(Hooks!$B:$B,MATCH($C9,Hooks!$A:$A,0)),"")</f>
        <v/>
      </c>
      <c r="N9" s="17" t="str">
        <f aca="false">IF($A9="","",$A9&amp;"_"&amp;TEXT($B9,"00")&amp;"_"&amp;$D9&amp;"_9x16")</f>
        <v>↑ rows 5–7 are examples — overwrite or delete them_00__9x16</v>
      </c>
      <c r="O9" s="17" t="str">
        <f aca="false">IFERROR(INDEX(Ref!$G:$G,MATCH($F9,Ref!$F:$F,0)),"")</f>
        <v/>
      </c>
    </row>
    <row r="10" customFormat="false" ht="15" hidden="false" customHeight="false" outlineLevel="0" collapsed="false">
      <c r="A10" s="12"/>
      <c r="B10" s="13"/>
      <c r="C10" s="12"/>
      <c r="D10" s="12"/>
      <c r="E10" s="12"/>
      <c r="F10" s="12"/>
      <c r="G10" s="14"/>
      <c r="H10" s="14"/>
      <c r="I10" s="12"/>
      <c r="J10" s="15"/>
      <c r="K10" s="13"/>
      <c r="L10" s="13"/>
      <c r="M10" s="16" t="str">
        <f aca="false">IFERROR(INDEX(Hooks!$B:$B,MATCH($C10,Hooks!$A:$A,0)),"")</f>
        <v/>
      </c>
      <c r="N10" s="17" t="str">
        <f aca="false">IF($A10="","",$A10&amp;"_"&amp;TEXT($B10,"00")&amp;"_"&amp;$D10&amp;"_9x16")</f>
        <v/>
      </c>
      <c r="O10" s="17" t="str">
        <f aca="false">IFERROR(INDEX(Ref!$G:$G,MATCH($F10,Ref!$F:$F,0)),"")</f>
        <v/>
      </c>
    </row>
    <row r="11" customFormat="false" ht="15" hidden="false" customHeight="false" outlineLevel="0" collapsed="false">
      <c r="A11" s="12"/>
      <c r="B11" s="13"/>
      <c r="C11" s="12"/>
      <c r="D11" s="12"/>
      <c r="E11" s="12"/>
      <c r="F11" s="12"/>
      <c r="G11" s="14"/>
      <c r="H11" s="14"/>
      <c r="I11" s="12"/>
      <c r="J11" s="15"/>
      <c r="K11" s="13"/>
      <c r="L11" s="13"/>
      <c r="M11" s="16" t="str">
        <f aca="false">IFERROR(INDEX(Hooks!$B:$B,MATCH($C11,Hooks!$A:$A,0)),"")</f>
        <v/>
      </c>
      <c r="N11" s="17" t="str">
        <f aca="false">IF($A11="","",$A11&amp;"_"&amp;TEXT($B11,"00")&amp;"_"&amp;$D11&amp;"_9x16")</f>
        <v/>
      </c>
      <c r="O11" s="17" t="str">
        <f aca="false">IFERROR(INDEX(Ref!$G:$G,MATCH($F11,Ref!$F:$F,0)),"")</f>
        <v/>
      </c>
    </row>
    <row r="12" customFormat="false" ht="15" hidden="false" customHeight="false" outlineLevel="0" collapsed="false">
      <c r="A12" s="12"/>
      <c r="B12" s="13"/>
      <c r="C12" s="12"/>
      <c r="D12" s="12"/>
      <c r="E12" s="12"/>
      <c r="F12" s="12"/>
      <c r="G12" s="14"/>
      <c r="H12" s="14"/>
      <c r="I12" s="12"/>
      <c r="J12" s="15"/>
      <c r="K12" s="13"/>
      <c r="L12" s="13"/>
      <c r="M12" s="16" t="str">
        <f aca="false">IFERROR(INDEX(Hooks!$B:$B,MATCH($C12,Hooks!$A:$A,0)),"")</f>
        <v/>
      </c>
      <c r="N12" s="17" t="str">
        <f aca="false">IF($A12="","",$A12&amp;"_"&amp;TEXT($B12,"00")&amp;"_"&amp;$D12&amp;"_9x16")</f>
        <v/>
      </c>
      <c r="O12" s="17" t="str">
        <f aca="false">IFERROR(INDEX(Ref!$G:$G,MATCH($F12,Ref!$F:$F,0)),"")</f>
        <v/>
      </c>
    </row>
    <row r="13" customFormat="false" ht="15" hidden="false" customHeight="false" outlineLevel="0" collapsed="false">
      <c r="A13" s="12"/>
      <c r="B13" s="13"/>
      <c r="C13" s="12"/>
      <c r="D13" s="12"/>
      <c r="E13" s="12"/>
      <c r="F13" s="12"/>
      <c r="G13" s="14"/>
      <c r="H13" s="14"/>
      <c r="I13" s="12"/>
      <c r="J13" s="15"/>
      <c r="K13" s="13"/>
      <c r="L13" s="13"/>
      <c r="M13" s="16" t="str">
        <f aca="false">IFERROR(INDEX(Hooks!$B:$B,MATCH($C13,Hooks!$A:$A,0)),"")</f>
        <v/>
      </c>
      <c r="N13" s="17" t="str">
        <f aca="false">IF($A13="","",$A13&amp;"_"&amp;TEXT($B13,"00")&amp;"_"&amp;$D13&amp;"_9x16")</f>
        <v/>
      </c>
      <c r="O13" s="17" t="str">
        <f aca="false">IFERROR(INDEX(Ref!$G:$G,MATCH($F13,Ref!$F:$F,0)),"")</f>
        <v/>
      </c>
    </row>
    <row r="14" customFormat="false" ht="15" hidden="false" customHeight="false" outlineLevel="0" collapsed="false">
      <c r="A14" s="12"/>
      <c r="B14" s="13"/>
      <c r="C14" s="12"/>
      <c r="D14" s="12"/>
      <c r="E14" s="12"/>
      <c r="F14" s="12"/>
      <c r="G14" s="14"/>
      <c r="H14" s="14"/>
      <c r="I14" s="12"/>
      <c r="J14" s="15"/>
      <c r="K14" s="13"/>
      <c r="L14" s="13"/>
      <c r="M14" s="16" t="str">
        <f aca="false">IFERROR(INDEX(Hooks!$B:$B,MATCH($C14,Hooks!$A:$A,0)),"")</f>
        <v/>
      </c>
      <c r="N14" s="17" t="str">
        <f aca="false">IF($A14="","",$A14&amp;"_"&amp;TEXT($B14,"00")&amp;"_"&amp;$D14&amp;"_9x16")</f>
        <v/>
      </c>
      <c r="O14" s="17" t="str">
        <f aca="false">IFERROR(INDEX(Ref!$G:$G,MATCH($F14,Ref!$F:$F,0)),"")</f>
        <v/>
      </c>
    </row>
    <row r="15" customFormat="false" ht="15" hidden="false" customHeight="false" outlineLevel="0" collapsed="false">
      <c r="A15" s="12"/>
      <c r="B15" s="13"/>
      <c r="C15" s="12"/>
      <c r="D15" s="12"/>
      <c r="E15" s="12"/>
      <c r="F15" s="12"/>
      <c r="G15" s="14"/>
      <c r="H15" s="14"/>
      <c r="I15" s="12"/>
      <c r="J15" s="15"/>
      <c r="K15" s="13"/>
      <c r="L15" s="13"/>
      <c r="M15" s="16" t="str">
        <f aca="false">IFERROR(INDEX(Hooks!$B:$B,MATCH($C15,Hooks!$A:$A,0)),"")</f>
        <v/>
      </c>
      <c r="N15" s="17" t="str">
        <f aca="false">IF($A15="","",$A15&amp;"_"&amp;TEXT($B15,"00")&amp;"_"&amp;$D15&amp;"_9x16")</f>
        <v/>
      </c>
      <c r="O15" s="17" t="str">
        <f aca="false">IFERROR(INDEX(Ref!$G:$G,MATCH($F15,Ref!$F:$F,0)),"")</f>
        <v/>
      </c>
    </row>
    <row r="16" customFormat="false" ht="15" hidden="false" customHeight="false" outlineLevel="0" collapsed="false">
      <c r="A16" s="12"/>
      <c r="B16" s="13"/>
      <c r="C16" s="12"/>
      <c r="D16" s="12"/>
      <c r="E16" s="12"/>
      <c r="F16" s="12"/>
      <c r="G16" s="14"/>
      <c r="H16" s="14"/>
      <c r="I16" s="12"/>
      <c r="J16" s="15"/>
      <c r="K16" s="13"/>
      <c r="L16" s="13"/>
      <c r="M16" s="16" t="str">
        <f aca="false">IFERROR(INDEX(Hooks!$B:$B,MATCH($C16,Hooks!$A:$A,0)),"")</f>
        <v/>
      </c>
      <c r="N16" s="17" t="str">
        <f aca="false">IF($A16="","",$A16&amp;"_"&amp;TEXT($B16,"00")&amp;"_"&amp;$D16&amp;"_9x16")</f>
        <v/>
      </c>
      <c r="O16" s="17" t="str">
        <f aca="false">IFERROR(INDEX(Ref!$G:$G,MATCH($F16,Ref!$F:$F,0)),"")</f>
        <v/>
      </c>
    </row>
    <row r="17" customFormat="false" ht="15" hidden="false" customHeight="false" outlineLevel="0" collapsed="false">
      <c r="A17" s="12"/>
      <c r="B17" s="13"/>
      <c r="C17" s="12"/>
      <c r="D17" s="12"/>
      <c r="E17" s="12"/>
      <c r="F17" s="12"/>
      <c r="G17" s="14"/>
      <c r="H17" s="14"/>
      <c r="I17" s="12"/>
      <c r="J17" s="15"/>
      <c r="K17" s="13"/>
      <c r="L17" s="13"/>
      <c r="M17" s="16" t="str">
        <f aca="false">IFERROR(INDEX(Hooks!$B:$B,MATCH($C17,Hooks!$A:$A,0)),"")</f>
        <v/>
      </c>
      <c r="N17" s="17" t="str">
        <f aca="false">IF($A17="","",$A17&amp;"_"&amp;TEXT($B17,"00")&amp;"_"&amp;$D17&amp;"_9x16")</f>
        <v/>
      </c>
      <c r="O17" s="17" t="str">
        <f aca="false">IFERROR(INDEX(Ref!$G:$G,MATCH($F17,Ref!$F:$F,0)),"")</f>
        <v/>
      </c>
    </row>
    <row r="18" customFormat="false" ht="15" hidden="false" customHeight="false" outlineLevel="0" collapsed="false">
      <c r="A18" s="12"/>
      <c r="B18" s="13"/>
      <c r="C18" s="12"/>
      <c r="D18" s="12"/>
      <c r="E18" s="12"/>
      <c r="F18" s="12"/>
      <c r="G18" s="14"/>
      <c r="H18" s="14"/>
      <c r="I18" s="12"/>
      <c r="J18" s="15"/>
      <c r="K18" s="13"/>
      <c r="L18" s="13"/>
      <c r="M18" s="16" t="str">
        <f aca="false">IFERROR(INDEX(Hooks!$B:$B,MATCH($C18,Hooks!$A:$A,0)),"")</f>
        <v/>
      </c>
      <c r="N18" s="17" t="str">
        <f aca="false">IF($A18="","",$A18&amp;"_"&amp;TEXT($B18,"00")&amp;"_"&amp;$D18&amp;"_9x16")</f>
        <v/>
      </c>
      <c r="O18" s="17" t="str">
        <f aca="false">IFERROR(INDEX(Ref!$G:$G,MATCH($F18,Ref!$F:$F,0)),"")</f>
        <v/>
      </c>
    </row>
    <row r="19" customFormat="false" ht="15" hidden="false" customHeight="false" outlineLevel="0" collapsed="false">
      <c r="A19" s="12"/>
      <c r="B19" s="13"/>
      <c r="C19" s="12"/>
      <c r="D19" s="12"/>
      <c r="E19" s="12"/>
      <c r="F19" s="12"/>
      <c r="G19" s="14"/>
      <c r="H19" s="14"/>
      <c r="I19" s="12"/>
      <c r="J19" s="15"/>
      <c r="K19" s="13"/>
      <c r="L19" s="13"/>
      <c r="M19" s="16" t="str">
        <f aca="false">IFERROR(INDEX(Hooks!$B:$B,MATCH($C19,Hooks!$A:$A,0)),"")</f>
        <v/>
      </c>
      <c r="N19" s="17" t="str">
        <f aca="false">IF($A19="","",$A19&amp;"_"&amp;TEXT($B19,"00")&amp;"_"&amp;$D19&amp;"_9x16")</f>
        <v/>
      </c>
      <c r="O19" s="17" t="str">
        <f aca="false">IFERROR(INDEX(Ref!$G:$G,MATCH($F19,Ref!$F:$F,0)),"")</f>
        <v/>
      </c>
    </row>
    <row r="20" customFormat="false" ht="15" hidden="false" customHeight="false" outlineLevel="0" collapsed="false">
      <c r="A20" s="12"/>
      <c r="B20" s="13"/>
      <c r="C20" s="12"/>
      <c r="D20" s="12"/>
      <c r="E20" s="12"/>
      <c r="F20" s="12"/>
      <c r="G20" s="14"/>
      <c r="H20" s="14"/>
      <c r="I20" s="12"/>
      <c r="J20" s="15"/>
      <c r="K20" s="13"/>
      <c r="L20" s="13"/>
      <c r="M20" s="16" t="str">
        <f aca="false">IFERROR(INDEX(Hooks!$B:$B,MATCH($C20,Hooks!$A:$A,0)),"")</f>
        <v/>
      </c>
      <c r="N20" s="17" t="str">
        <f aca="false">IF($A20="","",$A20&amp;"_"&amp;TEXT($B20,"00")&amp;"_"&amp;$D20&amp;"_9x16")</f>
        <v/>
      </c>
      <c r="O20" s="17" t="str">
        <f aca="false">IFERROR(INDEX(Ref!$G:$G,MATCH($F20,Ref!$F:$F,0)),"")</f>
        <v/>
      </c>
    </row>
    <row r="21" customFormat="false" ht="15" hidden="false" customHeight="false" outlineLevel="0" collapsed="false">
      <c r="A21" s="12"/>
      <c r="B21" s="13"/>
      <c r="C21" s="12"/>
      <c r="D21" s="12"/>
      <c r="E21" s="12"/>
      <c r="F21" s="12"/>
      <c r="G21" s="14"/>
      <c r="H21" s="14"/>
      <c r="I21" s="12"/>
      <c r="J21" s="15"/>
      <c r="K21" s="13"/>
      <c r="L21" s="13"/>
      <c r="M21" s="16" t="str">
        <f aca="false">IFERROR(INDEX(Hooks!$B:$B,MATCH($C21,Hooks!$A:$A,0)),"")</f>
        <v/>
      </c>
      <c r="N21" s="17" t="str">
        <f aca="false">IF($A21="","",$A21&amp;"_"&amp;TEXT($B21,"00")&amp;"_"&amp;$D21&amp;"_9x16")</f>
        <v/>
      </c>
      <c r="O21" s="17" t="str">
        <f aca="false">IFERROR(INDEX(Ref!$G:$G,MATCH($F21,Ref!$F:$F,0)),"")</f>
        <v/>
      </c>
    </row>
    <row r="22" customFormat="false" ht="15" hidden="false" customHeight="false" outlineLevel="0" collapsed="false">
      <c r="A22" s="12"/>
      <c r="B22" s="13"/>
      <c r="C22" s="12"/>
      <c r="D22" s="12"/>
      <c r="E22" s="12"/>
      <c r="F22" s="12"/>
      <c r="G22" s="14"/>
      <c r="H22" s="14"/>
      <c r="I22" s="12"/>
      <c r="J22" s="15"/>
      <c r="K22" s="13"/>
      <c r="L22" s="13"/>
      <c r="M22" s="16" t="str">
        <f aca="false">IFERROR(INDEX(Hooks!$B:$B,MATCH($C22,Hooks!$A:$A,0)),"")</f>
        <v/>
      </c>
      <c r="N22" s="17" t="str">
        <f aca="false">IF($A22="","",$A22&amp;"_"&amp;TEXT($B22,"00")&amp;"_"&amp;$D22&amp;"_9x16")</f>
        <v/>
      </c>
      <c r="O22" s="17" t="str">
        <f aca="false">IFERROR(INDEX(Ref!$G:$G,MATCH($F22,Ref!$F:$F,0)),"")</f>
        <v/>
      </c>
    </row>
    <row r="23" customFormat="false" ht="15" hidden="false" customHeight="false" outlineLevel="0" collapsed="false">
      <c r="A23" s="12"/>
      <c r="B23" s="13"/>
      <c r="C23" s="12"/>
      <c r="D23" s="12"/>
      <c r="E23" s="12"/>
      <c r="F23" s="12"/>
      <c r="G23" s="14"/>
      <c r="H23" s="14"/>
      <c r="I23" s="12"/>
      <c r="J23" s="15"/>
      <c r="K23" s="13"/>
      <c r="L23" s="13"/>
      <c r="M23" s="16" t="str">
        <f aca="false">IFERROR(INDEX(Hooks!$B:$B,MATCH($C23,Hooks!$A:$A,0)),"")</f>
        <v/>
      </c>
      <c r="N23" s="17" t="str">
        <f aca="false">IF($A23="","",$A23&amp;"_"&amp;TEXT($B23,"00")&amp;"_"&amp;$D23&amp;"_9x16")</f>
        <v/>
      </c>
      <c r="O23" s="17" t="str">
        <f aca="false">IFERROR(INDEX(Ref!$G:$G,MATCH($F23,Ref!$F:$F,0)),"")</f>
        <v/>
      </c>
    </row>
    <row r="24" customFormat="false" ht="15" hidden="false" customHeight="false" outlineLevel="0" collapsed="false">
      <c r="A24" s="12"/>
      <c r="B24" s="13"/>
      <c r="C24" s="12"/>
      <c r="D24" s="12"/>
      <c r="E24" s="12"/>
      <c r="F24" s="12"/>
      <c r="G24" s="14"/>
      <c r="H24" s="14"/>
      <c r="I24" s="12"/>
      <c r="J24" s="15"/>
      <c r="K24" s="13"/>
      <c r="L24" s="13"/>
      <c r="M24" s="16" t="str">
        <f aca="false">IFERROR(INDEX(Hooks!$B:$B,MATCH($C24,Hooks!$A:$A,0)),"")</f>
        <v/>
      </c>
      <c r="N24" s="17" t="str">
        <f aca="false">IF($A24="","",$A24&amp;"_"&amp;TEXT($B24,"00")&amp;"_"&amp;$D24&amp;"_9x16")</f>
        <v/>
      </c>
      <c r="O24" s="17" t="str">
        <f aca="false">IFERROR(INDEX(Ref!$G:$G,MATCH($F24,Ref!$F:$F,0)),"")</f>
        <v/>
      </c>
    </row>
    <row r="25" customFormat="false" ht="15" hidden="false" customHeight="false" outlineLevel="0" collapsed="false">
      <c r="A25" s="12"/>
      <c r="B25" s="13"/>
      <c r="C25" s="12"/>
      <c r="D25" s="12"/>
      <c r="E25" s="12"/>
      <c r="F25" s="12"/>
      <c r="G25" s="14"/>
      <c r="H25" s="14"/>
      <c r="I25" s="12"/>
      <c r="J25" s="15"/>
      <c r="K25" s="13"/>
      <c r="L25" s="13"/>
      <c r="M25" s="16" t="str">
        <f aca="false">IFERROR(INDEX(Hooks!$B:$B,MATCH($C25,Hooks!$A:$A,0)),"")</f>
        <v/>
      </c>
      <c r="N25" s="17" t="str">
        <f aca="false">IF($A25="","",$A25&amp;"_"&amp;TEXT($B25,"00")&amp;"_"&amp;$D25&amp;"_9x16")</f>
        <v/>
      </c>
      <c r="O25" s="17" t="str">
        <f aca="false">IFERROR(INDEX(Ref!$G:$G,MATCH($F25,Ref!$F:$F,0)),"")</f>
        <v/>
      </c>
    </row>
    <row r="26" customFormat="false" ht="15" hidden="false" customHeight="false" outlineLevel="0" collapsed="false">
      <c r="A26" s="12"/>
      <c r="B26" s="13"/>
      <c r="C26" s="12"/>
      <c r="D26" s="12"/>
      <c r="E26" s="12"/>
      <c r="F26" s="12"/>
      <c r="G26" s="14"/>
      <c r="H26" s="14"/>
      <c r="I26" s="12"/>
      <c r="J26" s="15"/>
      <c r="K26" s="13"/>
      <c r="L26" s="13"/>
      <c r="M26" s="16" t="str">
        <f aca="false">IFERROR(INDEX(Hooks!$B:$B,MATCH($C26,Hooks!$A:$A,0)),"")</f>
        <v/>
      </c>
      <c r="N26" s="17" t="str">
        <f aca="false">IF($A26="","",$A26&amp;"_"&amp;TEXT($B26,"00")&amp;"_"&amp;$D26&amp;"_9x16")</f>
        <v/>
      </c>
      <c r="O26" s="17" t="str">
        <f aca="false">IFERROR(INDEX(Ref!$G:$G,MATCH($F26,Ref!$F:$F,0)),"")</f>
        <v/>
      </c>
    </row>
    <row r="27" customFormat="false" ht="15" hidden="false" customHeight="false" outlineLevel="0" collapsed="false">
      <c r="A27" s="12"/>
      <c r="B27" s="13"/>
      <c r="C27" s="12"/>
      <c r="D27" s="12"/>
      <c r="E27" s="12"/>
      <c r="F27" s="12"/>
      <c r="G27" s="14"/>
      <c r="H27" s="14"/>
      <c r="I27" s="12"/>
      <c r="J27" s="15"/>
      <c r="K27" s="13"/>
      <c r="L27" s="13"/>
      <c r="M27" s="16" t="str">
        <f aca="false">IFERROR(INDEX(Hooks!$B:$B,MATCH($C27,Hooks!$A:$A,0)),"")</f>
        <v/>
      </c>
      <c r="N27" s="17" t="str">
        <f aca="false">IF($A27="","",$A27&amp;"_"&amp;TEXT($B27,"00")&amp;"_"&amp;$D27&amp;"_9x16")</f>
        <v/>
      </c>
      <c r="O27" s="17" t="str">
        <f aca="false">IFERROR(INDEX(Ref!$G:$G,MATCH($F27,Ref!$F:$F,0)),"")</f>
        <v/>
      </c>
    </row>
    <row r="28" customFormat="false" ht="15" hidden="false" customHeight="false" outlineLevel="0" collapsed="false">
      <c r="A28" s="12"/>
      <c r="B28" s="13"/>
      <c r="C28" s="12"/>
      <c r="D28" s="12"/>
      <c r="E28" s="12"/>
      <c r="F28" s="12"/>
      <c r="G28" s="14"/>
      <c r="H28" s="14"/>
      <c r="I28" s="12"/>
      <c r="J28" s="15"/>
      <c r="K28" s="13"/>
      <c r="L28" s="13"/>
      <c r="M28" s="16" t="str">
        <f aca="false">IFERROR(INDEX(Hooks!$B:$B,MATCH($C28,Hooks!$A:$A,0)),"")</f>
        <v/>
      </c>
      <c r="N28" s="17" t="str">
        <f aca="false">IF($A28="","",$A28&amp;"_"&amp;TEXT($B28,"00")&amp;"_"&amp;$D28&amp;"_9x16")</f>
        <v/>
      </c>
      <c r="O28" s="17" t="str">
        <f aca="false">IFERROR(INDEX(Ref!$G:$G,MATCH($F28,Ref!$F:$F,0)),"")</f>
        <v/>
      </c>
    </row>
    <row r="29" customFormat="false" ht="15" hidden="false" customHeight="false" outlineLevel="0" collapsed="false">
      <c r="A29" s="12"/>
      <c r="B29" s="13"/>
      <c r="C29" s="12"/>
      <c r="D29" s="12"/>
      <c r="E29" s="12"/>
      <c r="F29" s="12"/>
      <c r="G29" s="14"/>
      <c r="H29" s="14"/>
      <c r="I29" s="12"/>
      <c r="J29" s="15"/>
      <c r="K29" s="13"/>
      <c r="L29" s="13"/>
      <c r="M29" s="16" t="str">
        <f aca="false">IFERROR(INDEX(Hooks!$B:$B,MATCH($C29,Hooks!$A:$A,0)),"")</f>
        <v/>
      </c>
      <c r="N29" s="17" t="str">
        <f aca="false">IF($A29="","",$A29&amp;"_"&amp;TEXT($B29,"00")&amp;"_"&amp;$D29&amp;"_9x16")</f>
        <v/>
      </c>
      <c r="O29" s="17" t="str">
        <f aca="false">IFERROR(INDEX(Ref!$G:$G,MATCH($F29,Ref!$F:$F,0)),"")</f>
        <v/>
      </c>
    </row>
    <row r="30" customFormat="false" ht="15" hidden="false" customHeight="false" outlineLevel="0" collapsed="false">
      <c r="A30" s="12"/>
      <c r="B30" s="13"/>
      <c r="C30" s="12"/>
      <c r="D30" s="12"/>
      <c r="E30" s="12"/>
      <c r="F30" s="12"/>
      <c r="G30" s="14"/>
      <c r="H30" s="14"/>
      <c r="I30" s="12"/>
      <c r="J30" s="15"/>
      <c r="K30" s="13"/>
      <c r="L30" s="13"/>
      <c r="M30" s="16" t="str">
        <f aca="false">IFERROR(INDEX(Hooks!$B:$B,MATCH($C30,Hooks!$A:$A,0)),"")</f>
        <v/>
      </c>
      <c r="N30" s="17" t="str">
        <f aca="false">IF($A30="","",$A30&amp;"_"&amp;TEXT($B30,"00")&amp;"_"&amp;$D30&amp;"_9x16")</f>
        <v/>
      </c>
      <c r="O30" s="17" t="str">
        <f aca="false">IFERROR(INDEX(Ref!$G:$G,MATCH($F30,Ref!$F:$F,0)),"")</f>
        <v/>
      </c>
    </row>
    <row r="31" customFormat="false" ht="15" hidden="false" customHeight="false" outlineLevel="0" collapsed="false">
      <c r="A31" s="12"/>
      <c r="B31" s="13"/>
      <c r="C31" s="12"/>
      <c r="D31" s="12"/>
      <c r="E31" s="12"/>
      <c r="F31" s="12"/>
      <c r="G31" s="14"/>
      <c r="H31" s="14"/>
      <c r="I31" s="12"/>
      <c r="J31" s="15"/>
      <c r="K31" s="13"/>
      <c r="L31" s="13"/>
      <c r="M31" s="16" t="str">
        <f aca="false">IFERROR(INDEX(Hooks!$B:$B,MATCH($C31,Hooks!$A:$A,0)),"")</f>
        <v/>
      </c>
      <c r="N31" s="17" t="str">
        <f aca="false">IF($A31="","",$A31&amp;"_"&amp;TEXT($B31,"00")&amp;"_"&amp;$D31&amp;"_9x16")</f>
        <v/>
      </c>
      <c r="O31" s="17" t="str">
        <f aca="false">IFERROR(INDEX(Ref!$G:$G,MATCH($F31,Ref!$F:$F,0)),"")</f>
        <v/>
      </c>
    </row>
    <row r="32" customFormat="false" ht="15" hidden="false" customHeight="false" outlineLevel="0" collapsed="false">
      <c r="A32" s="12"/>
      <c r="B32" s="13"/>
      <c r="C32" s="12"/>
      <c r="D32" s="12"/>
      <c r="E32" s="12"/>
      <c r="F32" s="12"/>
      <c r="G32" s="14"/>
      <c r="H32" s="14"/>
      <c r="I32" s="12"/>
      <c r="J32" s="15"/>
      <c r="K32" s="13"/>
      <c r="L32" s="13"/>
      <c r="M32" s="16" t="str">
        <f aca="false">IFERROR(INDEX(Hooks!$B:$B,MATCH($C32,Hooks!$A:$A,0)),"")</f>
        <v/>
      </c>
      <c r="N32" s="17" t="str">
        <f aca="false">IF($A32="","",$A32&amp;"_"&amp;TEXT($B32,"00")&amp;"_"&amp;$D32&amp;"_9x16")</f>
        <v/>
      </c>
      <c r="O32" s="17" t="str">
        <f aca="false">IFERROR(INDEX(Ref!$G:$G,MATCH($F32,Ref!$F:$F,0)),"")</f>
        <v/>
      </c>
    </row>
    <row r="33" customFormat="false" ht="15" hidden="false" customHeight="false" outlineLevel="0" collapsed="false">
      <c r="A33" s="12"/>
      <c r="B33" s="13"/>
      <c r="C33" s="12"/>
      <c r="D33" s="12"/>
      <c r="E33" s="12"/>
      <c r="F33" s="12"/>
      <c r="G33" s="14"/>
      <c r="H33" s="14"/>
      <c r="I33" s="12"/>
      <c r="J33" s="15"/>
      <c r="K33" s="13"/>
      <c r="L33" s="13"/>
      <c r="M33" s="16" t="str">
        <f aca="false">IFERROR(INDEX(Hooks!$B:$B,MATCH($C33,Hooks!$A:$A,0)),"")</f>
        <v/>
      </c>
      <c r="N33" s="17" t="str">
        <f aca="false">IF($A33="","",$A33&amp;"_"&amp;TEXT($B33,"00")&amp;"_"&amp;$D33&amp;"_9x16")</f>
        <v/>
      </c>
      <c r="O33" s="17" t="str">
        <f aca="false">IFERROR(INDEX(Ref!$G:$G,MATCH($F33,Ref!$F:$F,0)),"")</f>
        <v/>
      </c>
    </row>
    <row r="34" customFormat="false" ht="15" hidden="false" customHeight="false" outlineLevel="0" collapsed="false">
      <c r="A34" s="12"/>
      <c r="B34" s="13"/>
      <c r="C34" s="12"/>
      <c r="D34" s="12"/>
      <c r="E34" s="12"/>
      <c r="F34" s="12"/>
      <c r="G34" s="14"/>
      <c r="H34" s="14"/>
      <c r="I34" s="12"/>
      <c r="J34" s="15"/>
      <c r="K34" s="13"/>
      <c r="L34" s="13"/>
      <c r="M34" s="16" t="str">
        <f aca="false">IFERROR(INDEX(Hooks!$B:$B,MATCH($C34,Hooks!$A:$A,0)),"")</f>
        <v/>
      </c>
      <c r="N34" s="17" t="str">
        <f aca="false">IF($A34="","",$A34&amp;"_"&amp;TEXT($B34,"00")&amp;"_"&amp;$D34&amp;"_9x16")</f>
        <v/>
      </c>
      <c r="O34" s="17" t="str">
        <f aca="false">IFERROR(INDEX(Ref!$G:$G,MATCH($F34,Ref!$F:$F,0)),"")</f>
        <v/>
      </c>
    </row>
    <row r="35" customFormat="false" ht="15" hidden="false" customHeight="false" outlineLevel="0" collapsed="false">
      <c r="A35" s="12"/>
      <c r="B35" s="13"/>
      <c r="C35" s="12"/>
      <c r="D35" s="12"/>
      <c r="E35" s="12"/>
      <c r="F35" s="12"/>
      <c r="G35" s="14"/>
      <c r="H35" s="14"/>
      <c r="I35" s="12"/>
      <c r="J35" s="15"/>
      <c r="K35" s="13"/>
      <c r="L35" s="13"/>
      <c r="M35" s="16" t="str">
        <f aca="false">IFERROR(INDEX(Hooks!$B:$B,MATCH($C35,Hooks!$A:$A,0)),"")</f>
        <v/>
      </c>
      <c r="N35" s="17" t="str">
        <f aca="false">IF($A35="","",$A35&amp;"_"&amp;TEXT($B35,"00")&amp;"_"&amp;$D35&amp;"_9x16")</f>
        <v/>
      </c>
      <c r="O35" s="17" t="str">
        <f aca="false">IFERROR(INDEX(Ref!$G:$G,MATCH($F35,Ref!$F:$F,0)),"")</f>
        <v/>
      </c>
    </row>
    <row r="36" customFormat="false" ht="15" hidden="false" customHeight="false" outlineLevel="0" collapsed="false">
      <c r="A36" s="12"/>
      <c r="B36" s="13"/>
      <c r="C36" s="12"/>
      <c r="D36" s="12"/>
      <c r="E36" s="12"/>
      <c r="F36" s="12"/>
      <c r="G36" s="14"/>
      <c r="H36" s="14"/>
      <c r="I36" s="12"/>
      <c r="J36" s="15"/>
      <c r="K36" s="13"/>
      <c r="L36" s="13"/>
      <c r="M36" s="16" t="str">
        <f aca="false">IFERROR(INDEX(Hooks!$B:$B,MATCH($C36,Hooks!$A:$A,0)),"")</f>
        <v/>
      </c>
      <c r="N36" s="17" t="str">
        <f aca="false">IF($A36="","",$A36&amp;"_"&amp;TEXT($B36,"00")&amp;"_"&amp;$D36&amp;"_9x16")</f>
        <v/>
      </c>
      <c r="O36" s="17" t="str">
        <f aca="false">IFERROR(INDEX(Ref!$G:$G,MATCH($F36,Ref!$F:$F,0)),"")</f>
        <v/>
      </c>
    </row>
    <row r="37" customFormat="false" ht="15" hidden="false" customHeight="false" outlineLevel="0" collapsed="false">
      <c r="A37" s="12"/>
      <c r="B37" s="13"/>
      <c r="C37" s="12"/>
      <c r="D37" s="12"/>
      <c r="E37" s="12"/>
      <c r="F37" s="12"/>
      <c r="G37" s="14"/>
      <c r="H37" s="14"/>
      <c r="I37" s="12"/>
      <c r="J37" s="15"/>
      <c r="K37" s="13"/>
      <c r="L37" s="13"/>
      <c r="M37" s="16" t="str">
        <f aca="false">IFERROR(INDEX(Hooks!$B:$B,MATCH($C37,Hooks!$A:$A,0)),"")</f>
        <v/>
      </c>
      <c r="N37" s="17" t="str">
        <f aca="false">IF($A37="","",$A37&amp;"_"&amp;TEXT($B37,"00")&amp;"_"&amp;$D37&amp;"_9x16")</f>
        <v/>
      </c>
      <c r="O37" s="17" t="str">
        <f aca="false">IFERROR(INDEX(Ref!$G:$G,MATCH($F37,Ref!$F:$F,0)),"")</f>
        <v/>
      </c>
    </row>
    <row r="38" customFormat="false" ht="15" hidden="false" customHeight="false" outlineLevel="0" collapsed="false">
      <c r="A38" s="12"/>
      <c r="B38" s="13"/>
      <c r="C38" s="12"/>
      <c r="D38" s="12"/>
      <c r="E38" s="12"/>
      <c r="F38" s="12"/>
      <c r="G38" s="14"/>
      <c r="H38" s="14"/>
      <c r="I38" s="12"/>
      <c r="J38" s="15"/>
      <c r="K38" s="13"/>
      <c r="L38" s="13"/>
      <c r="M38" s="16" t="str">
        <f aca="false">IFERROR(INDEX(Hooks!$B:$B,MATCH($C38,Hooks!$A:$A,0)),"")</f>
        <v/>
      </c>
      <c r="N38" s="17" t="str">
        <f aca="false">IF($A38="","",$A38&amp;"_"&amp;TEXT($B38,"00")&amp;"_"&amp;$D38&amp;"_9x16")</f>
        <v/>
      </c>
      <c r="O38" s="17" t="str">
        <f aca="false">IFERROR(INDEX(Ref!$G:$G,MATCH($F38,Ref!$F:$F,0)),"")</f>
        <v/>
      </c>
    </row>
    <row r="39" customFormat="false" ht="15" hidden="false" customHeight="false" outlineLevel="0" collapsed="false">
      <c r="A39" s="12"/>
      <c r="B39" s="13"/>
      <c r="C39" s="12"/>
      <c r="D39" s="12"/>
      <c r="E39" s="12"/>
      <c r="F39" s="12"/>
      <c r="G39" s="14"/>
      <c r="H39" s="14"/>
      <c r="I39" s="12"/>
      <c r="J39" s="15"/>
      <c r="K39" s="13"/>
      <c r="L39" s="13"/>
      <c r="M39" s="16" t="str">
        <f aca="false">IFERROR(INDEX(Hooks!$B:$B,MATCH($C39,Hooks!$A:$A,0)),"")</f>
        <v/>
      </c>
      <c r="N39" s="17" t="str">
        <f aca="false">IF($A39="","",$A39&amp;"_"&amp;TEXT($B39,"00")&amp;"_"&amp;$D39&amp;"_9x16")</f>
        <v/>
      </c>
      <c r="O39" s="17" t="str">
        <f aca="false">IFERROR(INDEX(Ref!$G:$G,MATCH($F39,Ref!$F:$F,0)),"")</f>
        <v/>
      </c>
    </row>
    <row r="40" customFormat="false" ht="15" hidden="false" customHeight="false" outlineLevel="0" collapsed="false">
      <c r="A40" s="12"/>
      <c r="B40" s="13"/>
      <c r="C40" s="12"/>
      <c r="D40" s="12"/>
      <c r="E40" s="12"/>
      <c r="F40" s="12"/>
      <c r="G40" s="14"/>
      <c r="H40" s="14"/>
      <c r="I40" s="12"/>
      <c r="J40" s="15"/>
      <c r="K40" s="13"/>
      <c r="L40" s="13"/>
      <c r="M40" s="16" t="str">
        <f aca="false">IFERROR(INDEX(Hooks!$B:$B,MATCH($C40,Hooks!$A:$A,0)),"")</f>
        <v/>
      </c>
      <c r="N40" s="17" t="str">
        <f aca="false">IF($A40="","",$A40&amp;"_"&amp;TEXT($B40,"00")&amp;"_"&amp;$D40&amp;"_9x16")</f>
        <v/>
      </c>
      <c r="O40" s="17" t="str">
        <f aca="false">IFERROR(INDEX(Ref!$G:$G,MATCH($F40,Ref!$F:$F,0)),"")</f>
        <v/>
      </c>
    </row>
    <row r="41" customFormat="false" ht="15" hidden="false" customHeight="false" outlineLevel="0" collapsed="false">
      <c r="A41" s="12"/>
      <c r="B41" s="13"/>
      <c r="C41" s="12"/>
      <c r="D41" s="12"/>
      <c r="E41" s="12"/>
      <c r="F41" s="12"/>
      <c r="G41" s="14"/>
      <c r="H41" s="14"/>
      <c r="I41" s="12"/>
      <c r="J41" s="15"/>
      <c r="K41" s="13"/>
      <c r="L41" s="13"/>
      <c r="M41" s="16" t="str">
        <f aca="false">IFERROR(INDEX(Hooks!$B:$B,MATCH($C41,Hooks!$A:$A,0)),"")</f>
        <v/>
      </c>
      <c r="N41" s="17" t="str">
        <f aca="false">IF($A41="","",$A41&amp;"_"&amp;TEXT($B41,"00")&amp;"_"&amp;$D41&amp;"_9x16")</f>
        <v/>
      </c>
      <c r="O41" s="17" t="str">
        <f aca="false">IFERROR(INDEX(Ref!$G:$G,MATCH($F41,Ref!$F:$F,0)),"")</f>
        <v/>
      </c>
    </row>
    <row r="42" customFormat="false" ht="15" hidden="false" customHeight="false" outlineLevel="0" collapsed="false">
      <c r="A42" s="12"/>
      <c r="B42" s="13"/>
      <c r="C42" s="12"/>
      <c r="D42" s="12"/>
      <c r="E42" s="12"/>
      <c r="F42" s="12"/>
      <c r="G42" s="14"/>
      <c r="H42" s="14"/>
      <c r="I42" s="12"/>
      <c r="J42" s="15"/>
      <c r="K42" s="13"/>
      <c r="L42" s="13"/>
      <c r="M42" s="16" t="str">
        <f aca="false">IFERROR(INDEX(Hooks!$B:$B,MATCH($C42,Hooks!$A:$A,0)),"")</f>
        <v/>
      </c>
      <c r="N42" s="17" t="str">
        <f aca="false">IF($A42="","",$A42&amp;"_"&amp;TEXT($B42,"00")&amp;"_"&amp;$D42&amp;"_9x16")</f>
        <v/>
      </c>
      <c r="O42" s="17" t="str">
        <f aca="false">IFERROR(INDEX(Ref!$G:$G,MATCH($F42,Ref!$F:$F,0)),"")</f>
        <v/>
      </c>
    </row>
    <row r="43" customFormat="false" ht="15" hidden="false" customHeight="false" outlineLevel="0" collapsed="false">
      <c r="A43" s="12"/>
      <c r="B43" s="13"/>
      <c r="C43" s="12"/>
      <c r="D43" s="12"/>
      <c r="E43" s="12"/>
      <c r="F43" s="12"/>
      <c r="G43" s="14"/>
      <c r="H43" s="14"/>
      <c r="I43" s="12"/>
      <c r="J43" s="15"/>
      <c r="K43" s="13"/>
      <c r="L43" s="13"/>
      <c r="M43" s="16" t="str">
        <f aca="false">IFERROR(INDEX(Hooks!$B:$B,MATCH($C43,Hooks!$A:$A,0)),"")</f>
        <v/>
      </c>
      <c r="N43" s="17" t="str">
        <f aca="false">IF($A43="","",$A43&amp;"_"&amp;TEXT($B43,"00")&amp;"_"&amp;$D43&amp;"_9x16")</f>
        <v/>
      </c>
      <c r="O43" s="17" t="str">
        <f aca="false">IFERROR(INDEX(Ref!$G:$G,MATCH($F43,Ref!$F:$F,0)),"")</f>
        <v/>
      </c>
    </row>
    <row r="44" customFormat="false" ht="15" hidden="false" customHeight="false" outlineLevel="0" collapsed="false">
      <c r="A44" s="12"/>
      <c r="B44" s="13"/>
      <c r="C44" s="12"/>
      <c r="D44" s="12"/>
      <c r="E44" s="12"/>
      <c r="F44" s="12"/>
      <c r="G44" s="14"/>
      <c r="H44" s="14"/>
      <c r="I44" s="12"/>
      <c r="J44" s="15"/>
      <c r="K44" s="13"/>
      <c r="L44" s="13"/>
      <c r="M44" s="16" t="str">
        <f aca="false">IFERROR(INDEX(Hooks!$B:$B,MATCH($C44,Hooks!$A:$A,0)),"")</f>
        <v/>
      </c>
      <c r="N44" s="17" t="str">
        <f aca="false">IF($A44="","",$A44&amp;"_"&amp;TEXT($B44,"00")&amp;"_"&amp;$D44&amp;"_9x16")</f>
        <v/>
      </c>
      <c r="O44" s="17" t="str">
        <f aca="false">IFERROR(INDEX(Ref!$G:$G,MATCH($F44,Ref!$F:$F,0)),"")</f>
        <v/>
      </c>
    </row>
    <row r="45" customFormat="false" ht="15" hidden="false" customHeight="false" outlineLevel="0" collapsed="false">
      <c r="A45" s="12"/>
      <c r="B45" s="13"/>
      <c r="C45" s="12"/>
      <c r="D45" s="12"/>
      <c r="E45" s="12"/>
      <c r="F45" s="12"/>
      <c r="G45" s="14"/>
      <c r="H45" s="14"/>
      <c r="I45" s="12"/>
      <c r="J45" s="15"/>
      <c r="K45" s="13"/>
      <c r="L45" s="13"/>
      <c r="M45" s="16" t="str">
        <f aca="false">IFERROR(INDEX(Hooks!$B:$B,MATCH($C45,Hooks!$A:$A,0)),"")</f>
        <v/>
      </c>
      <c r="N45" s="17" t="str">
        <f aca="false">IF($A45="","",$A45&amp;"_"&amp;TEXT($B45,"00")&amp;"_"&amp;$D45&amp;"_9x16")</f>
        <v/>
      </c>
      <c r="O45" s="17" t="str">
        <f aca="false">IFERROR(INDEX(Ref!$G:$G,MATCH($F45,Ref!$F:$F,0)),"")</f>
        <v/>
      </c>
    </row>
    <row r="46" customFormat="false" ht="15" hidden="false" customHeight="false" outlineLevel="0" collapsed="false">
      <c r="A46" s="12"/>
      <c r="B46" s="13"/>
      <c r="C46" s="12"/>
      <c r="D46" s="12"/>
      <c r="E46" s="12"/>
      <c r="F46" s="12"/>
      <c r="G46" s="14"/>
      <c r="H46" s="14"/>
      <c r="I46" s="12"/>
      <c r="J46" s="15"/>
      <c r="K46" s="13"/>
      <c r="L46" s="13"/>
      <c r="M46" s="16" t="str">
        <f aca="false">IFERROR(INDEX(Hooks!$B:$B,MATCH($C46,Hooks!$A:$A,0)),"")</f>
        <v/>
      </c>
      <c r="N46" s="17" t="str">
        <f aca="false">IF($A46="","",$A46&amp;"_"&amp;TEXT($B46,"00")&amp;"_"&amp;$D46&amp;"_9x16")</f>
        <v/>
      </c>
      <c r="O46" s="17" t="str">
        <f aca="false">IFERROR(INDEX(Ref!$G:$G,MATCH($F46,Ref!$F:$F,0)),"")</f>
        <v/>
      </c>
    </row>
    <row r="47" customFormat="false" ht="15" hidden="false" customHeight="false" outlineLevel="0" collapsed="false">
      <c r="A47" s="12"/>
      <c r="B47" s="13"/>
      <c r="C47" s="12"/>
      <c r="D47" s="12"/>
      <c r="E47" s="12"/>
      <c r="F47" s="12"/>
      <c r="G47" s="14"/>
      <c r="H47" s="14"/>
      <c r="I47" s="12"/>
      <c r="J47" s="15"/>
      <c r="K47" s="13"/>
      <c r="L47" s="13"/>
      <c r="M47" s="16" t="str">
        <f aca="false">IFERROR(INDEX(Hooks!$B:$B,MATCH($C47,Hooks!$A:$A,0)),"")</f>
        <v/>
      </c>
      <c r="N47" s="17" t="str">
        <f aca="false">IF($A47="","",$A47&amp;"_"&amp;TEXT($B47,"00")&amp;"_"&amp;$D47&amp;"_9x16")</f>
        <v/>
      </c>
      <c r="O47" s="17" t="str">
        <f aca="false">IFERROR(INDEX(Ref!$G:$G,MATCH($F47,Ref!$F:$F,0)),"")</f>
        <v/>
      </c>
    </row>
    <row r="48" customFormat="false" ht="15" hidden="false" customHeight="false" outlineLevel="0" collapsed="false">
      <c r="A48" s="12"/>
      <c r="B48" s="13"/>
      <c r="C48" s="12"/>
      <c r="D48" s="12"/>
      <c r="E48" s="12"/>
      <c r="F48" s="12"/>
      <c r="G48" s="14"/>
      <c r="H48" s="14"/>
      <c r="I48" s="12"/>
      <c r="J48" s="15"/>
      <c r="K48" s="13"/>
      <c r="L48" s="13"/>
      <c r="M48" s="16" t="str">
        <f aca="false">IFERROR(INDEX(Hooks!$B:$B,MATCH($C48,Hooks!$A:$A,0)),"")</f>
        <v/>
      </c>
      <c r="N48" s="17" t="str">
        <f aca="false">IF($A48="","",$A48&amp;"_"&amp;TEXT($B48,"00")&amp;"_"&amp;$D48&amp;"_9x16")</f>
        <v/>
      </c>
      <c r="O48" s="17" t="str">
        <f aca="false">IFERROR(INDEX(Ref!$G:$G,MATCH($F48,Ref!$F:$F,0)),"")</f>
        <v/>
      </c>
    </row>
    <row r="49" customFormat="false" ht="15" hidden="false" customHeight="false" outlineLevel="0" collapsed="false">
      <c r="A49" s="12"/>
      <c r="B49" s="13"/>
      <c r="C49" s="12"/>
      <c r="D49" s="12"/>
      <c r="E49" s="12"/>
      <c r="F49" s="12"/>
      <c r="G49" s="14"/>
      <c r="H49" s="14"/>
      <c r="I49" s="12"/>
      <c r="J49" s="15"/>
      <c r="K49" s="13"/>
      <c r="L49" s="13"/>
      <c r="M49" s="16" t="str">
        <f aca="false">IFERROR(INDEX(Hooks!$B:$B,MATCH($C49,Hooks!$A:$A,0)),"")</f>
        <v/>
      </c>
      <c r="N49" s="17" t="str">
        <f aca="false">IF($A49="","",$A49&amp;"_"&amp;TEXT($B49,"00")&amp;"_"&amp;$D49&amp;"_9x16")</f>
        <v/>
      </c>
      <c r="O49" s="17" t="str">
        <f aca="false">IFERROR(INDEX(Ref!$G:$G,MATCH($F49,Ref!$F:$F,0)),"")</f>
        <v/>
      </c>
    </row>
    <row r="50" customFormat="false" ht="15" hidden="false" customHeight="false" outlineLevel="0" collapsed="false">
      <c r="A50" s="12"/>
      <c r="B50" s="13"/>
      <c r="C50" s="12"/>
      <c r="D50" s="12"/>
      <c r="E50" s="12"/>
      <c r="F50" s="12"/>
      <c r="G50" s="14"/>
      <c r="H50" s="14"/>
      <c r="I50" s="12"/>
      <c r="J50" s="15"/>
      <c r="K50" s="13"/>
      <c r="L50" s="13"/>
      <c r="M50" s="16" t="str">
        <f aca="false">IFERROR(INDEX(Hooks!$B:$B,MATCH($C50,Hooks!$A:$A,0)),"")</f>
        <v/>
      </c>
      <c r="N50" s="17" t="str">
        <f aca="false">IF($A50="","",$A50&amp;"_"&amp;TEXT($B50,"00")&amp;"_"&amp;$D50&amp;"_9x16")</f>
        <v/>
      </c>
      <c r="O50" s="17" t="str">
        <f aca="false">IFERROR(INDEX(Ref!$G:$G,MATCH($F50,Ref!$F:$F,0)),"")</f>
        <v/>
      </c>
    </row>
    <row r="51" customFormat="false" ht="15" hidden="false" customHeight="false" outlineLevel="0" collapsed="false">
      <c r="A51" s="12"/>
      <c r="B51" s="13"/>
      <c r="C51" s="12"/>
      <c r="D51" s="12"/>
      <c r="E51" s="12"/>
      <c r="F51" s="12"/>
      <c r="G51" s="14"/>
      <c r="H51" s="14"/>
      <c r="I51" s="12"/>
      <c r="J51" s="15"/>
      <c r="K51" s="13"/>
      <c r="L51" s="13"/>
      <c r="M51" s="16" t="str">
        <f aca="false">IFERROR(INDEX(Hooks!$B:$B,MATCH($C51,Hooks!$A:$A,0)),"")</f>
        <v/>
      </c>
      <c r="N51" s="17" t="str">
        <f aca="false">IF($A51="","",$A51&amp;"_"&amp;TEXT($B51,"00")&amp;"_"&amp;$D51&amp;"_9x16")</f>
        <v/>
      </c>
      <c r="O51" s="17" t="str">
        <f aca="false">IFERROR(INDEX(Ref!$G:$G,MATCH($F51,Ref!$F:$F,0)),"")</f>
        <v/>
      </c>
    </row>
    <row r="52" customFormat="false" ht="15" hidden="false" customHeight="false" outlineLevel="0" collapsed="false">
      <c r="A52" s="12"/>
      <c r="B52" s="13"/>
      <c r="C52" s="12"/>
      <c r="D52" s="12"/>
      <c r="E52" s="12"/>
      <c r="F52" s="12"/>
      <c r="G52" s="14"/>
      <c r="H52" s="14"/>
      <c r="I52" s="12"/>
      <c r="J52" s="15"/>
      <c r="K52" s="13"/>
      <c r="L52" s="13"/>
      <c r="M52" s="16" t="str">
        <f aca="false">IFERROR(INDEX(Hooks!$B:$B,MATCH($C52,Hooks!$A:$A,0)),"")</f>
        <v/>
      </c>
      <c r="N52" s="17" t="str">
        <f aca="false">IF($A52="","",$A52&amp;"_"&amp;TEXT($B52,"00")&amp;"_"&amp;$D52&amp;"_9x16")</f>
        <v/>
      </c>
      <c r="O52" s="17" t="str">
        <f aca="false">IFERROR(INDEX(Ref!$G:$G,MATCH($F52,Ref!$F:$F,0)),"")</f>
        <v/>
      </c>
    </row>
    <row r="53" customFormat="false" ht="15" hidden="false" customHeight="false" outlineLevel="0" collapsed="false">
      <c r="A53" s="12"/>
      <c r="B53" s="13"/>
      <c r="C53" s="12"/>
      <c r="D53" s="12"/>
      <c r="E53" s="12"/>
      <c r="F53" s="12"/>
      <c r="G53" s="14"/>
      <c r="H53" s="14"/>
      <c r="I53" s="12"/>
      <c r="J53" s="15"/>
      <c r="K53" s="13"/>
      <c r="L53" s="13"/>
      <c r="M53" s="16" t="str">
        <f aca="false">IFERROR(INDEX(Hooks!$B:$B,MATCH($C53,Hooks!$A:$A,0)),"")</f>
        <v/>
      </c>
      <c r="N53" s="17" t="str">
        <f aca="false">IF($A53="","",$A53&amp;"_"&amp;TEXT($B53,"00")&amp;"_"&amp;$D53&amp;"_9x16")</f>
        <v/>
      </c>
      <c r="O53" s="17" t="str">
        <f aca="false">IFERROR(INDEX(Ref!$G:$G,MATCH($F53,Ref!$F:$F,0)),"")</f>
        <v/>
      </c>
    </row>
    <row r="54" customFormat="false" ht="15" hidden="false" customHeight="false" outlineLevel="0" collapsed="false">
      <c r="A54" s="12"/>
      <c r="B54" s="13"/>
      <c r="C54" s="12"/>
      <c r="D54" s="12"/>
      <c r="E54" s="12"/>
      <c r="F54" s="12"/>
      <c r="G54" s="14"/>
      <c r="H54" s="14"/>
      <c r="I54" s="12"/>
      <c r="J54" s="15"/>
      <c r="K54" s="13"/>
      <c r="L54" s="13"/>
      <c r="M54" s="16" t="str">
        <f aca="false">IFERROR(INDEX(Hooks!$B:$B,MATCH($C54,Hooks!$A:$A,0)),"")</f>
        <v/>
      </c>
      <c r="N54" s="17" t="str">
        <f aca="false">IF($A54="","",$A54&amp;"_"&amp;TEXT($B54,"00")&amp;"_"&amp;$D54&amp;"_9x16")</f>
        <v/>
      </c>
      <c r="O54" s="17" t="str">
        <f aca="false">IFERROR(INDEX(Ref!$G:$G,MATCH($F54,Ref!$F:$F,0)),"")</f>
        <v/>
      </c>
    </row>
    <row r="55" customFormat="false" ht="15" hidden="false" customHeight="false" outlineLevel="0" collapsed="false">
      <c r="A55" s="12"/>
      <c r="B55" s="13"/>
      <c r="C55" s="12"/>
      <c r="D55" s="12"/>
      <c r="E55" s="12"/>
      <c r="F55" s="12"/>
      <c r="G55" s="14"/>
      <c r="H55" s="14"/>
      <c r="I55" s="12"/>
      <c r="J55" s="15"/>
      <c r="K55" s="13"/>
      <c r="L55" s="13"/>
      <c r="M55" s="16" t="str">
        <f aca="false">IFERROR(INDEX(Hooks!$B:$B,MATCH($C55,Hooks!$A:$A,0)),"")</f>
        <v/>
      </c>
      <c r="N55" s="17" t="str">
        <f aca="false">IF($A55="","",$A55&amp;"_"&amp;TEXT($B55,"00")&amp;"_"&amp;$D55&amp;"_9x16")</f>
        <v/>
      </c>
      <c r="O55" s="17" t="str">
        <f aca="false">IFERROR(INDEX(Ref!$G:$G,MATCH($F55,Ref!$F:$F,0)),"")</f>
        <v/>
      </c>
    </row>
    <row r="56" customFormat="false" ht="15" hidden="false" customHeight="false" outlineLevel="0" collapsed="false">
      <c r="A56" s="12"/>
      <c r="B56" s="13"/>
      <c r="C56" s="12"/>
      <c r="D56" s="12"/>
      <c r="E56" s="12"/>
      <c r="F56" s="12"/>
      <c r="G56" s="14"/>
      <c r="H56" s="14"/>
      <c r="I56" s="12"/>
      <c r="J56" s="15"/>
      <c r="K56" s="13"/>
      <c r="L56" s="13"/>
      <c r="M56" s="16" t="str">
        <f aca="false">IFERROR(INDEX(Hooks!$B:$B,MATCH($C56,Hooks!$A:$A,0)),"")</f>
        <v/>
      </c>
      <c r="N56" s="17" t="str">
        <f aca="false">IF($A56="","",$A56&amp;"_"&amp;TEXT($B56,"00")&amp;"_"&amp;$D56&amp;"_9x16")</f>
        <v/>
      </c>
      <c r="O56" s="17" t="str">
        <f aca="false">IFERROR(INDEX(Ref!$G:$G,MATCH($F56,Ref!$F:$F,0)),"")</f>
        <v/>
      </c>
    </row>
    <row r="57" customFormat="false" ht="15" hidden="false" customHeight="false" outlineLevel="0" collapsed="false">
      <c r="A57" s="12"/>
      <c r="B57" s="13"/>
      <c r="C57" s="12"/>
      <c r="D57" s="12"/>
      <c r="E57" s="12"/>
      <c r="F57" s="12"/>
      <c r="G57" s="14"/>
      <c r="H57" s="14"/>
      <c r="I57" s="12"/>
      <c r="J57" s="15"/>
      <c r="K57" s="13"/>
      <c r="L57" s="13"/>
      <c r="M57" s="16" t="str">
        <f aca="false">IFERROR(INDEX(Hooks!$B:$B,MATCH($C57,Hooks!$A:$A,0)),"")</f>
        <v/>
      </c>
      <c r="N57" s="17" t="str">
        <f aca="false">IF($A57="","",$A57&amp;"_"&amp;TEXT($B57,"00")&amp;"_"&amp;$D57&amp;"_9x16")</f>
        <v/>
      </c>
      <c r="O57" s="17" t="str">
        <f aca="false">IFERROR(INDEX(Ref!$G:$G,MATCH($F57,Ref!$F:$F,0)),"")</f>
        <v/>
      </c>
    </row>
    <row r="58" customFormat="false" ht="15" hidden="false" customHeight="false" outlineLevel="0" collapsed="false">
      <c r="A58" s="12"/>
      <c r="B58" s="13"/>
      <c r="C58" s="12"/>
      <c r="D58" s="12"/>
      <c r="E58" s="12"/>
      <c r="F58" s="12"/>
      <c r="G58" s="14"/>
      <c r="H58" s="14"/>
      <c r="I58" s="12"/>
      <c r="J58" s="15"/>
      <c r="K58" s="13"/>
      <c r="L58" s="13"/>
      <c r="M58" s="16" t="str">
        <f aca="false">IFERROR(INDEX(Hooks!$B:$B,MATCH($C58,Hooks!$A:$A,0)),"")</f>
        <v/>
      </c>
      <c r="N58" s="17" t="str">
        <f aca="false">IF($A58="","",$A58&amp;"_"&amp;TEXT($B58,"00")&amp;"_"&amp;$D58&amp;"_9x16")</f>
        <v/>
      </c>
      <c r="O58" s="17" t="str">
        <f aca="false">IFERROR(INDEX(Ref!$G:$G,MATCH($F58,Ref!$F:$F,0)),"")</f>
        <v/>
      </c>
    </row>
    <row r="59" customFormat="false" ht="15" hidden="false" customHeight="false" outlineLevel="0" collapsed="false">
      <c r="A59" s="12"/>
      <c r="B59" s="13"/>
      <c r="C59" s="12"/>
      <c r="D59" s="12"/>
      <c r="E59" s="12"/>
      <c r="F59" s="12"/>
      <c r="G59" s="14"/>
      <c r="H59" s="14"/>
      <c r="I59" s="12"/>
      <c r="J59" s="15"/>
      <c r="K59" s="13"/>
      <c r="L59" s="13"/>
      <c r="M59" s="16" t="str">
        <f aca="false">IFERROR(INDEX(Hooks!$B:$B,MATCH($C59,Hooks!$A:$A,0)),"")</f>
        <v/>
      </c>
      <c r="N59" s="17" t="str">
        <f aca="false">IF($A59="","",$A59&amp;"_"&amp;TEXT($B59,"00")&amp;"_"&amp;$D59&amp;"_9x16")</f>
        <v/>
      </c>
      <c r="O59" s="17" t="str">
        <f aca="false">IFERROR(INDEX(Ref!$G:$G,MATCH($F59,Ref!$F:$F,0)),"")</f>
        <v/>
      </c>
    </row>
    <row r="60" customFormat="false" ht="15" hidden="false" customHeight="false" outlineLevel="0" collapsed="false">
      <c r="A60" s="12"/>
      <c r="B60" s="13"/>
      <c r="C60" s="12"/>
      <c r="D60" s="12"/>
      <c r="E60" s="12"/>
      <c r="F60" s="12"/>
      <c r="G60" s="14"/>
      <c r="H60" s="14"/>
      <c r="I60" s="12"/>
      <c r="J60" s="15"/>
      <c r="K60" s="13"/>
      <c r="L60" s="13"/>
      <c r="M60" s="16" t="str">
        <f aca="false">IFERROR(INDEX(Hooks!$B:$B,MATCH($C60,Hooks!$A:$A,0)),"")</f>
        <v/>
      </c>
      <c r="N60" s="17" t="str">
        <f aca="false">IF($A60="","",$A60&amp;"_"&amp;TEXT($B60,"00")&amp;"_"&amp;$D60&amp;"_9x16")</f>
        <v/>
      </c>
      <c r="O60" s="17" t="str">
        <f aca="false">IFERROR(INDEX(Ref!$G:$G,MATCH($F60,Ref!$F:$F,0)),"")</f>
        <v/>
      </c>
    </row>
    <row r="61" customFormat="false" ht="15" hidden="false" customHeight="false" outlineLevel="0" collapsed="false">
      <c r="A61" s="12"/>
      <c r="B61" s="13"/>
      <c r="C61" s="12"/>
      <c r="D61" s="12"/>
      <c r="E61" s="12"/>
      <c r="F61" s="12"/>
      <c r="G61" s="14"/>
      <c r="H61" s="14"/>
      <c r="I61" s="12"/>
      <c r="J61" s="15"/>
      <c r="K61" s="13"/>
      <c r="L61" s="13"/>
      <c r="M61" s="16" t="str">
        <f aca="false">IFERROR(INDEX(Hooks!$B:$B,MATCH($C61,Hooks!$A:$A,0)),"")</f>
        <v/>
      </c>
      <c r="N61" s="17" t="str">
        <f aca="false">IF($A61="","",$A61&amp;"_"&amp;TEXT($B61,"00")&amp;"_"&amp;$D61&amp;"_9x16")</f>
        <v/>
      </c>
      <c r="O61" s="17" t="str">
        <f aca="false">IFERROR(INDEX(Ref!$G:$G,MATCH($F61,Ref!$F:$F,0)),"")</f>
        <v/>
      </c>
    </row>
    <row r="62" customFormat="false" ht="15" hidden="false" customHeight="false" outlineLevel="0" collapsed="false">
      <c r="A62" s="12"/>
      <c r="B62" s="13"/>
      <c r="C62" s="12"/>
      <c r="D62" s="12"/>
      <c r="E62" s="12"/>
      <c r="F62" s="12"/>
      <c r="G62" s="14"/>
      <c r="H62" s="14"/>
      <c r="I62" s="12"/>
      <c r="J62" s="15"/>
      <c r="K62" s="13"/>
      <c r="L62" s="13"/>
      <c r="M62" s="16" t="str">
        <f aca="false">IFERROR(INDEX(Hooks!$B:$B,MATCH($C62,Hooks!$A:$A,0)),"")</f>
        <v/>
      </c>
      <c r="N62" s="17" t="str">
        <f aca="false">IF($A62="","",$A62&amp;"_"&amp;TEXT($B62,"00")&amp;"_"&amp;$D62&amp;"_9x16")</f>
        <v/>
      </c>
      <c r="O62" s="17" t="str">
        <f aca="false">IFERROR(INDEX(Ref!$G:$G,MATCH($F62,Ref!$F:$F,0)),"")</f>
        <v/>
      </c>
    </row>
    <row r="63" customFormat="false" ht="15" hidden="false" customHeight="false" outlineLevel="0" collapsed="false">
      <c r="A63" s="12"/>
      <c r="B63" s="13"/>
      <c r="C63" s="12"/>
      <c r="D63" s="12"/>
      <c r="E63" s="12"/>
      <c r="F63" s="12"/>
      <c r="G63" s="14"/>
      <c r="H63" s="14"/>
      <c r="I63" s="12"/>
      <c r="J63" s="15"/>
      <c r="K63" s="13"/>
      <c r="L63" s="13"/>
      <c r="M63" s="16" t="str">
        <f aca="false">IFERROR(INDEX(Hooks!$B:$B,MATCH($C63,Hooks!$A:$A,0)),"")</f>
        <v/>
      </c>
      <c r="N63" s="17" t="str">
        <f aca="false">IF($A63="","",$A63&amp;"_"&amp;TEXT($B63,"00")&amp;"_"&amp;$D63&amp;"_9x16")</f>
        <v/>
      </c>
      <c r="O63" s="17" t="str">
        <f aca="false">IFERROR(INDEX(Ref!$G:$G,MATCH($F63,Ref!$F:$F,0)),"")</f>
        <v/>
      </c>
    </row>
    <row r="64" customFormat="false" ht="15" hidden="false" customHeight="false" outlineLevel="0" collapsed="false">
      <c r="A64" s="12"/>
      <c r="B64" s="13"/>
      <c r="C64" s="12"/>
      <c r="D64" s="12"/>
      <c r="E64" s="12"/>
      <c r="F64" s="12"/>
      <c r="G64" s="14"/>
      <c r="H64" s="14"/>
      <c r="I64" s="12"/>
      <c r="J64" s="15"/>
      <c r="K64" s="13"/>
      <c r="L64" s="13"/>
      <c r="M64" s="16" t="str">
        <f aca="false">IFERROR(INDEX(Hooks!$B:$B,MATCH($C64,Hooks!$A:$A,0)),"")</f>
        <v/>
      </c>
      <c r="N64" s="17" t="str">
        <f aca="false">IF($A64="","",$A64&amp;"_"&amp;TEXT($B64,"00")&amp;"_"&amp;$D64&amp;"_9x16")</f>
        <v/>
      </c>
      <c r="O64" s="17" t="str">
        <f aca="false">IFERROR(INDEX(Ref!$G:$G,MATCH($F64,Ref!$F:$F,0)),"")</f>
        <v/>
      </c>
    </row>
    <row r="65" customFormat="false" ht="15" hidden="false" customHeight="false" outlineLevel="0" collapsed="false">
      <c r="A65" s="12"/>
      <c r="B65" s="13"/>
      <c r="C65" s="12"/>
      <c r="D65" s="12"/>
      <c r="E65" s="12"/>
      <c r="F65" s="12"/>
      <c r="G65" s="14"/>
      <c r="H65" s="14"/>
      <c r="I65" s="12"/>
      <c r="J65" s="15"/>
      <c r="K65" s="13"/>
      <c r="L65" s="13"/>
      <c r="M65" s="16" t="str">
        <f aca="false">IFERROR(INDEX(Hooks!$B:$B,MATCH($C65,Hooks!$A:$A,0)),"")</f>
        <v/>
      </c>
      <c r="N65" s="17" t="str">
        <f aca="false">IF($A65="","",$A65&amp;"_"&amp;TEXT($B65,"00")&amp;"_"&amp;$D65&amp;"_9x16")</f>
        <v/>
      </c>
      <c r="O65" s="17" t="str">
        <f aca="false">IFERROR(INDEX(Ref!$G:$G,MATCH($F65,Ref!$F:$F,0)),"")</f>
        <v/>
      </c>
    </row>
    <row r="66" customFormat="false" ht="15" hidden="false" customHeight="false" outlineLevel="0" collapsed="false">
      <c r="A66" s="12"/>
      <c r="B66" s="13"/>
      <c r="C66" s="12"/>
      <c r="D66" s="12"/>
      <c r="E66" s="12"/>
      <c r="F66" s="12"/>
      <c r="G66" s="14"/>
      <c r="H66" s="14"/>
      <c r="I66" s="12"/>
      <c r="J66" s="15"/>
      <c r="K66" s="13"/>
      <c r="L66" s="13"/>
      <c r="M66" s="16" t="str">
        <f aca="false">IFERROR(INDEX(Hooks!$B:$B,MATCH($C66,Hooks!$A:$A,0)),"")</f>
        <v/>
      </c>
      <c r="N66" s="17" t="str">
        <f aca="false">IF($A66="","",$A66&amp;"_"&amp;TEXT($B66,"00")&amp;"_"&amp;$D66&amp;"_9x16")</f>
        <v/>
      </c>
      <c r="O66" s="17" t="str">
        <f aca="false">IFERROR(INDEX(Ref!$G:$G,MATCH($F66,Ref!$F:$F,0)),"")</f>
        <v/>
      </c>
    </row>
    <row r="67" customFormat="false" ht="15" hidden="false" customHeight="false" outlineLevel="0" collapsed="false">
      <c r="A67" s="12"/>
      <c r="B67" s="13"/>
      <c r="C67" s="12"/>
      <c r="D67" s="12"/>
      <c r="E67" s="12"/>
      <c r="F67" s="12"/>
      <c r="G67" s="14"/>
      <c r="H67" s="14"/>
      <c r="I67" s="12"/>
      <c r="J67" s="15"/>
      <c r="K67" s="13"/>
      <c r="L67" s="13"/>
      <c r="M67" s="16" t="str">
        <f aca="false">IFERROR(INDEX(Hooks!$B:$B,MATCH($C67,Hooks!$A:$A,0)),"")</f>
        <v/>
      </c>
      <c r="N67" s="17" t="str">
        <f aca="false">IF($A67="","",$A67&amp;"_"&amp;TEXT($B67,"00")&amp;"_"&amp;$D67&amp;"_9x16")</f>
        <v/>
      </c>
      <c r="O67" s="17" t="str">
        <f aca="false">IFERROR(INDEX(Ref!$G:$G,MATCH($F67,Ref!$F:$F,0)),"")</f>
        <v/>
      </c>
    </row>
    <row r="68" customFormat="false" ht="15" hidden="false" customHeight="false" outlineLevel="0" collapsed="false">
      <c r="A68" s="12"/>
      <c r="B68" s="13"/>
      <c r="C68" s="12"/>
      <c r="D68" s="12"/>
      <c r="E68" s="12"/>
      <c r="F68" s="12"/>
      <c r="G68" s="14"/>
      <c r="H68" s="14"/>
      <c r="I68" s="12"/>
      <c r="J68" s="15"/>
      <c r="K68" s="13"/>
      <c r="L68" s="13"/>
      <c r="M68" s="16" t="str">
        <f aca="false">IFERROR(INDEX(Hooks!$B:$B,MATCH($C68,Hooks!$A:$A,0)),"")</f>
        <v/>
      </c>
      <c r="N68" s="17" t="str">
        <f aca="false">IF($A68="","",$A68&amp;"_"&amp;TEXT($B68,"00")&amp;"_"&amp;$D68&amp;"_9x16")</f>
        <v/>
      </c>
      <c r="O68" s="17" t="str">
        <f aca="false">IFERROR(INDEX(Ref!$G:$G,MATCH($F68,Ref!$F:$F,0)),"")</f>
        <v/>
      </c>
    </row>
    <row r="69" customFormat="false" ht="15" hidden="false" customHeight="false" outlineLevel="0" collapsed="false">
      <c r="A69" s="12"/>
      <c r="B69" s="13"/>
      <c r="C69" s="12"/>
      <c r="D69" s="12"/>
      <c r="E69" s="12"/>
      <c r="F69" s="12"/>
      <c r="G69" s="14"/>
      <c r="H69" s="14"/>
      <c r="I69" s="12"/>
      <c r="J69" s="15"/>
      <c r="K69" s="13"/>
      <c r="L69" s="13"/>
      <c r="M69" s="16" t="str">
        <f aca="false">IFERROR(INDEX(Hooks!$B:$B,MATCH($C69,Hooks!$A:$A,0)),"")</f>
        <v/>
      </c>
      <c r="N69" s="17" t="str">
        <f aca="false">IF($A69="","",$A69&amp;"_"&amp;TEXT($B69,"00")&amp;"_"&amp;$D69&amp;"_9x16")</f>
        <v/>
      </c>
      <c r="O69" s="17" t="str">
        <f aca="false">IFERROR(INDEX(Ref!$G:$G,MATCH($F69,Ref!$F:$F,0)),"")</f>
        <v/>
      </c>
    </row>
    <row r="70" customFormat="false" ht="15" hidden="false" customHeight="false" outlineLevel="0" collapsed="false">
      <c r="A70" s="12"/>
      <c r="B70" s="13"/>
      <c r="C70" s="12"/>
      <c r="D70" s="12"/>
      <c r="E70" s="12"/>
      <c r="F70" s="12"/>
      <c r="G70" s="14"/>
      <c r="H70" s="14"/>
      <c r="I70" s="12"/>
      <c r="J70" s="15"/>
      <c r="K70" s="13"/>
      <c r="L70" s="13"/>
      <c r="M70" s="16" t="str">
        <f aca="false">IFERROR(INDEX(Hooks!$B:$B,MATCH($C70,Hooks!$A:$A,0)),"")</f>
        <v/>
      </c>
      <c r="N70" s="17" t="str">
        <f aca="false">IF($A70="","",$A70&amp;"_"&amp;TEXT($B70,"00")&amp;"_"&amp;$D70&amp;"_9x16")</f>
        <v/>
      </c>
      <c r="O70" s="17" t="str">
        <f aca="false">IFERROR(INDEX(Ref!$G:$G,MATCH($F70,Ref!$F:$F,0)),"")</f>
        <v/>
      </c>
    </row>
    <row r="71" customFormat="false" ht="15" hidden="false" customHeight="false" outlineLevel="0" collapsed="false">
      <c r="A71" s="12"/>
      <c r="B71" s="13"/>
      <c r="C71" s="12"/>
      <c r="D71" s="12"/>
      <c r="E71" s="12"/>
      <c r="F71" s="12"/>
      <c r="G71" s="14"/>
      <c r="H71" s="14"/>
      <c r="I71" s="12"/>
      <c r="J71" s="15"/>
      <c r="K71" s="13"/>
      <c r="L71" s="13"/>
      <c r="M71" s="16" t="str">
        <f aca="false">IFERROR(INDEX(Hooks!$B:$B,MATCH($C71,Hooks!$A:$A,0)),"")</f>
        <v/>
      </c>
      <c r="N71" s="17" t="str">
        <f aca="false">IF($A71="","",$A71&amp;"_"&amp;TEXT($B71,"00")&amp;"_"&amp;$D71&amp;"_9x16")</f>
        <v/>
      </c>
      <c r="O71" s="17" t="str">
        <f aca="false">IFERROR(INDEX(Ref!$G:$G,MATCH($F71,Ref!$F:$F,0)),"")</f>
        <v/>
      </c>
    </row>
    <row r="72" customFormat="false" ht="15" hidden="false" customHeight="false" outlineLevel="0" collapsed="false">
      <c r="A72" s="12"/>
      <c r="B72" s="13"/>
      <c r="C72" s="12"/>
      <c r="D72" s="12"/>
      <c r="E72" s="12"/>
      <c r="F72" s="12"/>
      <c r="G72" s="14"/>
      <c r="H72" s="14"/>
      <c r="I72" s="12"/>
      <c r="J72" s="15"/>
      <c r="K72" s="13"/>
      <c r="L72" s="13"/>
      <c r="M72" s="16" t="str">
        <f aca="false">IFERROR(INDEX(Hooks!$B:$B,MATCH($C72,Hooks!$A:$A,0)),"")</f>
        <v/>
      </c>
      <c r="N72" s="17" t="str">
        <f aca="false">IF($A72="","",$A72&amp;"_"&amp;TEXT($B72,"00")&amp;"_"&amp;$D72&amp;"_9x16")</f>
        <v/>
      </c>
      <c r="O72" s="17" t="str">
        <f aca="false">IFERROR(INDEX(Ref!$G:$G,MATCH($F72,Ref!$F:$F,0)),"")</f>
        <v/>
      </c>
    </row>
    <row r="73" customFormat="false" ht="15" hidden="false" customHeight="false" outlineLevel="0" collapsed="false">
      <c r="A73" s="12"/>
      <c r="B73" s="13"/>
      <c r="C73" s="12"/>
      <c r="D73" s="12"/>
      <c r="E73" s="12"/>
      <c r="F73" s="12"/>
      <c r="G73" s="14"/>
      <c r="H73" s="14"/>
      <c r="I73" s="12"/>
      <c r="J73" s="15"/>
      <c r="K73" s="13"/>
      <c r="L73" s="13"/>
      <c r="M73" s="16" t="str">
        <f aca="false">IFERROR(INDEX(Hooks!$B:$B,MATCH($C73,Hooks!$A:$A,0)),"")</f>
        <v/>
      </c>
      <c r="N73" s="17" t="str">
        <f aca="false">IF($A73="","",$A73&amp;"_"&amp;TEXT($B73,"00")&amp;"_"&amp;$D73&amp;"_9x16")</f>
        <v/>
      </c>
      <c r="O73" s="17" t="str">
        <f aca="false">IFERROR(INDEX(Ref!$G:$G,MATCH($F73,Ref!$F:$F,0)),"")</f>
        <v/>
      </c>
    </row>
    <row r="74" customFormat="false" ht="15" hidden="false" customHeight="false" outlineLevel="0" collapsed="false">
      <c r="A74" s="12"/>
      <c r="B74" s="13"/>
      <c r="C74" s="12"/>
      <c r="D74" s="12"/>
      <c r="E74" s="12"/>
      <c r="F74" s="12"/>
      <c r="G74" s="14"/>
      <c r="H74" s="14"/>
      <c r="I74" s="12"/>
      <c r="J74" s="15"/>
      <c r="K74" s="13"/>
      <c r="L74" s="13"/>
      <c r="M74" s="16" t="str">
        <f aca="false">IFERROR(INDEX(Hooks!$B:$B,MATCH($C74,Hooks!$A:$A,0)),"")</f>
        <v/>
      </c>
      <c r="N74" s="17" t="str">
        <f aca="false">IF($A74="","",$A74&amp;"_"&amp;TEXT($B74,"00")&amp;"_"&amp;$D74&amp;"_9x16")</f>
        <v/>
      </c>
      <c r="O74" s="17" t="str">
        <f aca="false">IFERROR(INDEX(Ref!$G:$G,MATCH($F74,Ref!$F:$F,0)),"")</f>
        <v/>
      </c>
    </row>
    <row r="75" customFormat="false" ht="15" hidden="false" customHeight="false" outlineLevel="0" collapsed="false">
      <c r="A75" s="12"/>
      <c r="B75" s="13"/>
      <c r="C75" s="12"/>
      <c r="D75" s="12"/>
      <c r="E75" s="12"/>
      <c r="F75" s="12"/>
      <c r="G75" s="14"/>
      <c r="H75" s="14"/>
      <c r="I75" s="12"/>
      <c r="J75" s="15"/>
      <c r="K75" s="13"/>
      <c r="L75" s="13"/>
      <c r="M75" s="16" t="str">
        <f aca="false">IFERROR(INDEX(Hooks!$B:$B,MATCH($C75,Hooks!$A:$A,0)),"")</f>
        <v/>
      </c>
      <c r="N75" s="17" t="str">
        <f aca="false">IF($A75="","",$A75&amp;"_"&amp;TEXT($B75,"00")&amp;"_"&amp;$D75&amp;"_9x16")</f>
        <v/>
      </c>
      <c r="O75" s="17" t="str">
        <f aca="false">IFERROR(INDEX(Ref!$G:$G,MATCH($F75,Ref!$F:$F,0)),"")</f>
        <v/>
      </c>
    </row>
    <row r="76" customFormat="false" ht="15" hidden="false" customHeight="false" outlineLevel="0" collapsed="false">
      <c r="A76" s="12"/>
      <c r="B76" s="13"/>
      <c r="C76" s="12"/>
      <c r="D76" s="12"/>
      <c r="E76" s="12"/>
      <c r="F76" s="12"/>
      <c r="G76" s="14"/>
      <c r="H76" s="14"/>
      <c r="I76" s="12"/>
      <c r="J76" s="15"/>
      <c r="K76" s="13"/>
      <c r="L76" s="13"/>
      <c r="M76" s="16" t="str">
        <f aca="false">IFERROR(INDEX(Hooks!$B:$B,MATCH($C76,Hooks!$A:$A,0)),"")</f>
        <v/>
      </c>
      <c r="N76" s="17" t="str">
        <f aca="false">IF($A76="","",$A76&amp;"_"&amp;TEXT($B76,"00")&amp;"_"&amp;$D76&amp;"_9x16")</f>
        <v/>
      </c>
      <c r="O76" s="17" t="str">
        <f aca="false">IFERROR(INDEX(Ref!$G:$G,MATCH($F76,Ref!$F:$F,0)),"")</f>
        <v/>
      </c>
    </row>
    <row r="77" customFormat="false" ht="15" hidden="false" customHeight="false" outlineLevel="0" collapsed="false">
      <c r="A77" s="12"/>
      <c r="B77" s="13"/>
      <c r="C77" s="12"/>
      <c r="D77" s="12"/>
      <c r="E77" s="12"/>
      <c r="F77" s="12"/>
      <c r="G77" s="14"/>
      <c r="H77" s="14"/>
      <c r="I77" s="12"/>
      <c r="J77" s="15"/>
      <c r="K77" s="13"/>
      <c r="L77" s="13"/>
      <c r="M77" s="16" t="str">
        <f aca="false">IFERROR(INDEX(Hooks!$B:$B,MATCH($C77,Hooks!$A:$A,0)),"")</f>
        <v/>
      </c>
      <c r="N77" s="17" t="str">
        <f aca="false">IF($A77="","",$A77&amp;"_"&amp;TEXT($B77,"00")&amp;"_"&amp;$D77&amp;"_9x16")</f>
        <v/>
      </c>
      <c r="O77" s="17" t="str">
        <f aca="false">IFERROR(INDEX(Ref!$G:$G,MATCH($F77,Ref!$F:$F,0)),"")</f>
        <v/>
      </c>
    </row>
    <row r="78" customFormat="false" ht="15" hidden="false" customHeight="false" outlineLevel="0" collapsed="false">
      <c r="A78" s="12"/>
      <c r="B78" s="13"/>
      <c r="C78" s="12"/>
      <c r="D78" s="12"/>
      <c r="E78" s="12"/>
      <c r="F78" s="12"/>
      <c r="G78" s="14"/>
      <c r="H78" s="14"/>
      <c r="I78" s="12"/>
      <c r="J78" s="15"/>
      <c r="K78" s="13"/>
      <c r="L78" s="13"/>
      <c r="M78" s="16" t="str">
        <f aca="false">IFERROR(INDEX(Hooks!$B:$B,MATCH($C78,Hooks!$A:$A,0)),"")</f>
        <v/>
      </c>
      <c r="N78" s="17" t="str">
        <f aca="false">IF($A78="","",$A78&amp;"_"&amp;TEXT($B78,"00")&amp;"_"&amp;$D78&amp;"_9x16")</f>
        <v/>
      </c>
      <c r="O78" s="17" t="str">
        <f aca="false">IFERROR(INDEX(Ref!$G:$G,MATCH($F78,Ref!$F:$F,0)),"")</f>
        <v/>
      </c>
    </row>
    <row r="79" customFormat="false" ht="15" hidden="false" customHeight="false" outlineLevel="0" collapsed="false">
      <c r="A79" s="12"/>
      <c r="B79" s="13"/>
      <c r="C79" s="12"/>
      <c r="D79" s="12"/>
      <c r="E79" s="12"/>
      <c r="F79" s="12"/>
      <c r="G79" s="14"/>
      <c r="H79" s="14"/>
      <c r="I79" s="12"/>
      <c r="J79" s="15"/>
      <c r="K79" s="13"/>
      <c r="L79" s="13"/>
      <c r="M79" s="16" t="str">
        <f aca="false">IFERROR(INDEX(Hooks!$B:$B,MATCH($C79,Hooks!$A:$A,0)),"")</f>
        <v/>
      </c>
      <c r="N79" s="17" t="str">
        <f aca="false">IF($A79="","",$A79&amp;"_"&amp;TEXT($B79,"00")&amp;"_"&amp;$D79&amp;"_9x16")</f>
        <v/>
      </c>
      <c r="O79" s="17" t="str">
        <f aca="false">IFERROR(INDEX(Ref!$G:$G,MATCH($F79,Ref!$F:$F,0)),"")</f>
        <v/>
      </c>
    </row>
    <row r="80" customFormat="false" ht="15" hidden="false" customHeight="false" outlineLevel="0" collapsed="false">
      <c r="A80" s="12"/>
      <c r="B80" s="13"/>
      <c r="C80" s="12"/>
      <c r="D80" s="12"/>
      <c r="E80" s="12"/>
      <c r="F80" s="12"/>
      <c r="G80" s="14"/>
      <c r="H80" s="14"/>
      <c r="I80" s="12"/>
      <c r="J80" s="15"/>
      <c r="K80" s="13"/>
      <c r="L80" s="13"/>
      <c r="M80" s="16" t="str">
        <f aca="false">IFERROR(INDEX(Hooks!$B:$B,MATCH($C80,Hooks!$A:$A,0)),"")</f>
        <v/>
      </c>
      <c r="N80" s="17" t="str">
        <f aca="false">IF($A80="","",$A80&amp;"_"&amp;TEXT($B80,"00")&amp;"_"&amp;$D80&amp;"_9x16")</f>
        <v/>
      </c>
      <c r="O80" s="17" t="str">
        <f aca="false">IFERROR(INDEX(Ref!$G:$G,MATCH($F80,Ref!$F:$F,0)),"")</f>
        <v/>
      </c>
    </row>
    <row r="81" customFormat="false" ht="15" hidden="false" customHeight="false" outlineLevel="0" collapsed="false">
      <c r="A81" s="12"/>
      <c r="B81" s="13"/>
      <c r="C81" s="12"/>
      <c r="D81" s="12"/>
      <c r="E81" s="12"/>
      <c r="F81" s="12"/>
      <c r="G81" s="14"/>
      <c r="H81" s="14"/>
      <c r="I81" s="12"/>
      <c r="J81" s="15"/>
      <c r="K81" s="13"/>
      <c r="L81" s="13"/>
      <c r="M81" s="16" t="str">
        <f aca="false">IFERROR(INDEX(Hooks!$B:$B,MATCH($C81,Hooks!$A:$A,0)),"")</f>
        <v/>
      </c>
      <c r="N81" s="17" t="str">
        <f aca="false">IF($A81="","",$A81&amp;"_"&amp;TEXT($B81,"00")&amp;"_"&amp;$D81&amp;"_9x16")</f>
        <v/>
      </c>
      <c r="O81" s="17" t="str">
        <f aca="false">IFERROR(INDEX(Ref!$G:$G,MATCH($F81,Ref!$F:$F,0)),"")</f>
        <v/>
      </c>
    </row>
    <row r="82" customFormat="false" ht="15" hidden="false" customHeight="false" outlineLevel="0" collapsed="false">
      <c r="A82" s="12"/>
      <c r="B82" s="13"/>
      <c r="C82" s="12"/>
      <c r="D82" s="12"/>
      <c r="E82" s="12"/>
      <c r="F82" s="12"/>
      <c r="G82" s="14"/>
      <c r="H82" s="14"/>
      <c r="I82" s="12"/>
      <c r="J82" s="15"/>
      <c r="K82" s="13"/>
      <c r="L82" s="13"/>
      <c r="M82" s="16" t="str">
        <f aca="false">IFERROR(INDEX(Hooks!$B:$B,MATCH($C82,Hooks!$A:$A,0)),"")</f>
        <v/>
      </c>
      <c r="N82" s="17" t="str">
        <f aca="false">IF($A82="","",$A82&amp;"_"&amp;TEXT($B82,"00")&amp;"_"&amp;$D82&amp;"_9x16")</f>
        <v/>
      </c>
      <c r="O82" s="17" t="str">
        <f aca="false">IFERROR(INDEX(Ref!$G:$G,MATCH($F82,Ref!$F:$F,0)),"")</f>
        <v/>
      </c>
    </row>
    <row r="83" customFormat="false" ht="15" hidden="false" customHeight="false" outlineLevel="0" collapsed="false">
      <c r="A83" s="12"/>
      <c r="B83" s="13"/>
      <c r="C83" s="12"/>
      <c r="D83" s="12"/>
      <c r="E83" s="12"/>
      <c r="F83" s="12"/>
      <c r="G83" s="14"/>
      <c r="H83" s="14"/>
      <c r="I83" s="12"/>
      <c r="J83" s="15"/>
      <c r="K83" s="13"/>
      <c r="L83" s="13"/>
      <c r="M83" s="16" t="str">
        <f aca="false">IFERROR(INDEX(Hooks!$B:$B,MATCH($C83,Hooks!$A:$A,0)),"")</f>
        <v/>
      </c>
      <c r="N83" s="17" t="str">
        <f aca="false">IF($A83="","",$A83&amp;"_"&amp;TEXT($B83,"00")&amp;"_"&amp;$D83&amp;"_9x16")</f>
        <v/>
      </c>
      <c r="O83" s="17" t="str">
        <f aca="false">IFERROR(INDEX(Ref!$G:$G,MATCH($F83,Ref!$F:$F,0)),"")</f>
        <v/>
      </c>
    </row>
    <row r="84" customFormat="false" ht="15" hidden="false" customHeight="false" outlineLevel="0" collapsed="false">
      <c r="A84" s="12"/>
      <c r="B84" s="13"/>
      <c r="C84" s="12"/>
      <c r="D84" s="12"/>
      <c r="E84" s="12"/>
      <c r="F84" s="12"/>
      <c r="G84" s="14"/>
      <c r="H84" s="14"/>
      <c r="I84" s="12"/>
      <c r="J84" s="15"/>
      <c r="K84" s="13"/>
      <c r="L84" s="13"/>
      <c r="M84" s="16" t="str">
        <f aca="false">IFERROR(INDEX(Hooks!$B:$B,MATCH($C84,Hooks!$A:$A,0)),"")</f>
        <v/>
      </c>
      <c r="N84" s="17" t="str">
        <f aca="false">IF($A84="","",$A84&amp;"_"&amp;TEXT($B84,"00")&amp;"_"&amp;$D84&amp;"_9x16")</f>
        <v/>
      </c>
      <c r="O84" s="17" t="str">
        <f aca="false">IFERROR(INDEX(Ref!$G:$G,MATCH($F84,Ref!$F:$F,0)),"")</f>
        <v/>
      </c>
    </row>
    <row r="85" customFormat="false" ht="15" hidden="false" customHeight="false" outlineLevel="0" collapsed="false">
      <c r="A85" s="12"/>
      <c r="B85" s="13"/>
      <c r="C85" s="12"/>
      <c r="D85" s="12"/>
      <c r="E85" s="12"/>
      <c r="F85" s="12"/>
      <c r="G85" s="14"/>
      <c r="H85" s="14"/>
      <c r="I85" s="12"/>
      <c r="J85" s="15"/>
      <c r="K85" s="13"/>
      <c r="L85" s="13"/>
      <c r="M85" s="16" t="str">
        <f aca="false">IFERROR(INDEX(Hooks!$B:$B,MATCH($C85,Hooks!$A:$A,0)),"")</f>
        <v/>
      </c>
      <c r="N85" s="17" t="str">
        <f aca="false">IF($A85="","",$A85&amp;"_"&amp;TEXT($B85,"00")&amp;"_"&amp;$D85&amp;"_9x16")</f>
        <v/>
      </c>
      <c r="O85" s="17" t="str">
        <f aca="false">IFERROR(INDEX(Ref!$G:$G,MATCH($F85,Ref!$F:$F,0)),"")</f>
        <v/>
      </c>
    </row>
    <row r="86" customFormat="false" ht="15" hidden="false" customHeight="false" outlineLevel="0" collapsed="false">
      <c r="A86" s="12"/>
      <c r="B86" s="13"/>
      <c r="C86" s="12"/>
      <c r="D86" s="12"/>
      <c r="E86" s="12"/>
      <c r="F86" s="12"/>
      <c r="G86" s="14"/>
      <c r="H86" s="14"/>
      <c r="I86" s="12"/>
      <c r="J86" s="15"/>
      <c r="K86" s="13"/>
      <c r="L86" s="13"/>
      <c r="M86" s="16" t="str">
        <f aca="false">IFERROR(INDEX(Hooks!$B:$B,MATCH($C86,Hooks!$A:$A,0)),"")</f>
        <v/>
      </c>
      <c r="N86" s="17" t="str">
        <f aca="false">IF($A86="","",$A86&amp;"_"&amp;TEXT($B86,"00")&amp;"_"&amp;$D86&amp;"_9x16")</f>
        <v/>
      </c>
      <c r="O86" s="17" t="str">
        <f aca="false">IFERROR(INDEX(Ref!$G:$G,MATCH($F86,Ref!$F:$F,0)),"")</f>
        <v/>
      </c>
    </row>
    <row r="87" customFormat="false" ht="15" hidden="false" customHeight="false" outlineLevel="0" collapsed="false">
      <c r="A87" s="12"/>
      <c r="B87" s="13"/>
      <c r="C87" s="12"/>
      <c r="D87" s="12"/>
      <c r="E87" s="12"/>
      <c r="F87" s="12"/>
      <c r="G87" s="14"/>
      <c r="H87" s="14"/>
      <c r="I87" s="12"/>
      <c r="J87" s="15"/>
      <c r="K87" s="13"/>
      <c r="L87" s="13"/>
      <c r="M87" s="16" t="str">
        <f aca="false">IFERROR(INDEX(Hooks!$B:$B,MATCH($C87,Hooks!$A:$A,0)),"")</f>
        <v/>
      </c>
      <c r="N87" s="17" t="str">
        <f aca="false">IF($A87="","",$A87&amp;"_"&amp;TEXT($B87,"00")&amp;"_"&amp;$D87&amp;"_9x16")</f>
        <v/>
      </c>
      <c r="O87" s="17" t="str">
        <f aca="false">IFERROR(INDEX(Ref!$G:$G,MATCH($F87,Ref!$F:$F,0)),"")</f>
        <v/>
      </c>
    </row>
    <row r="88" customFormat="false" ht="15" hidden="false" customHeight="false" outlineLevel="0" collapsed="false">
      <c r="A88" s="12"/>
      <c r="B88" s="13"/>
      <c r="C88" s="12"/>
      <c r="D88" s="12"/>
      <c r="E88" s="12"/>
      <c r="F88" s="12"/>
      <c r="G88" s="14"/>
      <c r="H88" s="14"/>
      <c r="I88" s="12"/>
      <c r="J88" s="15"/>
      <c r="K88" s="13"/>
      <c r="L88" s="13"/>
      <c r="M88" s="16" t="str">
        <f aca="false">IFERROR(INDEX(Hooks!$B:$B,MATCH($C88,Hooks!$A:$A,0)),"")</f>
        <v/>
      </c>
      <c r="N88" s="17" t="str">
        <f aca="false">IF($A88="","",$A88&amp;"_"&amp;TEXT($B88,"00")&amp;"_"&amp;$D88&amp;"_9x16")</f>
        <v/>
      </c>
      <c r="O88" s="17" t="str">
        <f aca="false">IFERROR(INDEX(Ref!$G:$G,MATCH($F88,Ref!$F:$F,0)),"")</f>
        <v/>
      </c>
    </row>
    <row r="89" customFormat="false" ht="15" hidden="false" customHeight="false" outlineLevel="0" collapsed="false">
      <c r="A89" s="12"/>
      <c r="B89" s="13"/>
      <c r="C89" s="12"/>
      <c r="D89" s="12"/>
      <c r="E89" s="12"/>
      <c r="F89" s="12"/>
      <c r="G89" s="14"/>
      <c r="H89" s="14"/>
      <c r="I89" s="12"/>
      <c r="J89" s="15"/>
      <c r="K89" s="13"/>
      <c r="L89" s="13"/>
      <c r="M89" s="16" t="str">
        <f aca="false">IFERROR(INDEX(Hooks!$B:$B,MATCH($C89,Hooks!$A:$A,0)),"")</f>
        <v/>
      </c>
      <c r="N89" s="17" t="str">
        <f aca="false">IF($A89="","",$A89&amp;"_"&amp;TEXT($B89,"00")&amp;"_"&amp;$D89&amp;"_9x16")</f>
        <v/>
      </c>
      <c r="O89" s="17" t="str">
        <f aca="false">IFERROR(INDEX(Ref!$G:$G,MATCH($F89,Ref!$F:$F,0)),"")</f>
        <v/>
      </c>
    </row>
    <row r="90" customFormat="false" ht="15" hidden="false" customHeight="false" outlineLevel="0" collapsed="false">
      <c r="A90" s="12"/>
      <c r="B90" s="13"/>
      <c r="C90" s="12"/>
      <c r="D90" s="12"/>
      <c r="E90" s="12"/>
      <c r="F90" s="12"/>
      <c r="G90" s="14"/>
      <c r="H90" s="14"/>
      <c r="I90" s="12"/>
      <c r="J90" s="15"/>
      <c r="K90" s="13"/>
      <c r="L90" s="13"/>
      <c r="M90" s="16" t="str">
        <f aca="false">IFERROR(INDEX(Hooks!$B:$B,MATCH($C90,Hooks!$A:$A,0)),"")</f>
        <v/>
      </c>
      <c r="N90" s="17" t="str">
        <f aca="false">IF($A90="","",$A90&amp;"_"&amp;TEXT($B90,"00")&amp;"_"&amp;$D90&amp;"_9x16")</f>
        <v/>
      </c>
      <c r="O90" s="17" t="str">
        <f aca="false">IFERROR(INDEX(Ref!$G:$G,MATCH($F90,Ref!$F:$F,0)),"")</f>
        <v/>
      </c>
    </row>
    <row r="91" customFormat="false" ht="15" hidden="false" customHeight="false" outlineLevel="0" collapsed="false">
      <c r="A91" s="12"/>
      <c r="B91" s="13"/>
      <c r="C91" s="12"/>
      <c r="D91" s="12"/>
      <c r="E91" s="12"/>
      <c r="F91" s="12"/>
      <c r="G91" s="14"/>
      <c r="H91" s="14"/>
      <c r="I91" s="12"/>
      <c r="J91" s="15"/>
      <c r="K91" s="13"/>
      <c r="L91" s="13"/>
      <c r="M91" s="16" t="str">
        <f aca="false">IFERROR(INDEX(Hooks!$B:$B,MATCH($C91,Hooks!$A:$A,0)),"")</f>
        <v/>
      </c>
      <c r="N91" s="17" t="str">
        <f aca="false">IF($A91="","",$A91&amp;"_"&amp;TEXT($B91,"00")&amp;"_"&amp;$D91&amp;"_9x16")</f>
        <v/>
      </c>
      <c r="O91" s="17" t="str">
        <f aca="false">IFERROR(INDEX(Ref!$G:$G,MATCH($F91,Ref!$F:$F,0)),"")</f>
        <v/>
      </c>
    </row>
    <row r="92" customFormat="false" ht="15" hidden="false" customHeight="false" outlineLevel="0" collapsed="false">
      <c r="A92" s="12"/>
      <c r="B92" s="13"/>
      <c r="C92" s="12"/>
      <c r="D92" s="12"/>
      <c r="E92" s="12"/>
      <c r="F92" s="12"/>
      <c r="G92" s="14"/>
      <c r="H92" s="14"/>
      <c r="I92" s="12"/>
      <c r="J92" s="15"/>
      <c r="K92" s="13"/>
      <c r="L92" s="13"/>
      <c r="M92" s="16" t="str">
        <f aca="false">IFERROR(INDEX(Hooks!$B:$B,MATCH($C92,Hooks!$A:$A,0)),"")</f>
        <v/>
      </c>
      <c r="N92" s="17" t="str">
        <f aca="false">IF($A92="","",$A92&amp;"_"&amp;TEXT($B92,"00")&amp;"_"&amp;$D92&amp;"_9x16")</f>
        <v/>
      </c>
      <c r="O92" s="17" t="str">
        <f aca="false">IFERROR(INDEX(Ref!$G:$G,MATCH($F92,Ref!$F:$F,0)),"")</f>
        <v/>
      </c>
    </row>
    <row r="93" customFormat="false" ht="15" hidden="false" customHeight="false" outlineLevel="0" collapsed="false">
      <c r="A93" s="12"/>
      <c r="B93" s="13"/>
      <c r="C93" s="12"/>
      <c r="D93" s="12"/>
      <c r="E93" s="12"/>
      <c r="F93" s="12"/>
      <c r="G93" s="14"/>
      <c r="H93" s="14"/>
      <c r="I93" s="12"/>
      <c r="J93" s="15"/>
      <c r="K93" s="13"/>
      <c r="L93" s="13"/>
      <c r="M93" s="16" t="str">
        <f aca="false">IFERROR(INDEX(Hooks!$B:$B,MATCH($C93,Hooks!$A:$A,0)),"")</f>
        <v/>
      </c>
      <c r="N93" s="17" t="str">
        <f aca="false">IF($A93="","",$A93&amp;"_"&amp;TEXT($B93,"00")&amp;"_"&amp;$D93&amp;"_9x16")</f>
        <v/>
      </c>
      <c r="O93" s="17" t="str">
        <f aca="false">IFERROR(INDEX(Ref!$G:$G,MATCH($F93,Ref!$F:$F,0)),"")</f>
        <v/>
      </c>
    </row>
    <row r="94" customFormat="false" ht="15" hidden="false" customHeight="false" outlineLevel="0" collapsed="false">
      <c r="A94" s="12"/>
      <c r="B94" s="13"/>
      <c r="C94" s="12"/>
      <c r="D94" s="12"/>
      <c r="E94" s="12"/>
      <c r="F94" s="12"/>
      <c r="G94" s="14"/>
      <c r="H94" s="14"/>
      <c r="I94" s="12"/>
      <c r="J94" s="15"/>
      <c r="K94" s="13"/>
      <c r="L94" s="13"/>
      <c r="M94" s="16" t="str">
        <f aca="false">IFERROR(INDEX(Hooks!$B:$B,MATCH($C94,Hooks!$A:$A,0)),"")</f>
        <v/>
      </c>
      <c r="N94" s="17" t="str">
        <f aca="false">IF($A94="","",$A94&amp;"_"&amp;TEXT($B94,"00")&amp;"_"&amp;$D94&amp;"_9x16")</f>
        <v/>
      </c>
      <c r="O94" s="17" t="str">
        <f aca="false">IFERROR(INDEX(Ref!$G:$G,MATCH($F94,Ref!$F:$F,0)),"")</f>
        <v/>
      </c>
    </row>
    <row r="95" customFormat="false" ht="15" hidden="false" customHeight="false" outlineLevel="0" collapsed="false">
      <c r="A95" s="12"/>
      <c r="B95" s="13"/>
      <c r="C95" s="12"/>
      <c r="D95" s="12"/>
      <c r="E95" s="12"/>
      <c r="F95" s="12"/>
      <c r="G95" s="14"/>
      <c r="H95" s="14"/>
      <c r="I95" s="12"/>
      <c r="J95" s="15"/>
      <c r="K95" s="13"/>
      <c r="L95" s="13"/>
      <c r="M95" s="16" t="str">
        <f aca="false">IFERROR(INDEX(Hooks!$B:$B,MATCH($C95,Hooks!$A:$A,0)),"")</f>
        <v/>
      </c>
      <c r="N95" s="17" t="str">
        <f aca="false">IF($A95="","",$A95&amp;"_"&amp;TEXT($B95,"00")&amp;"_"&amp;$D95&amp;"_9x16")</f>
        <v/>
      </c>
      <c r="O95" s="17" t="str">
        <f aca="false">IFERROR(INDEX(Ref!$G:$G,MATCH($F95,Ref!$F:$F,0)),"")</f>
        <v/>
      </c>
    </row>
    <row r="96" customFormat="false" ht="15" hidden="false" customHeight="false" outlineLevel="0" collapsed="false">
      <c r="A96" s="12"/>
      <c r="B96" s="13"/>
      <c r="C96" s="12"/>
      <c r="D96" s="12"/>
      <c r="E96" s="12"/>
      <c r="F96" s="12"/>
      <c r="G96" s="14"/>
      <c r="H96" s="14"/>
      <c r="I96" s="12"/>
      <c r="J96" s="15"/>
      <c r="K96" s="13"/>
      <c r="L96" s="13"/>
      <c r="M96" s="16" t="str">
        <f aca="false">IFERROR(INDEX(Hooks!$B:$B,MATCH($C96,Hooks!$A:$A,0)),"")</f>
        <v/>
      </c>
      <c r="N96" s="17" t="str">
        <f aca="false">IF($A96="","",$A96&amp;"_"&amp;TEXT($B96,"00")&amp;"_"&amp;$D96&amp;"_9x16")</f>
        <v/>
      </c>
      <c r="O96" s="17" t="str">
        <f aca="false">IFERROR(INDEX(Ref!$G:$G,MATCH($F96,Ref!$F:$F,0)),"")</f>
        <v/>
      </c>
    </row>
    <row r="97" customFormat="false" ht="15" hidden="false" customHeight="false" outlineLevel="0" collapsed="false">
      <c r="A97" s="12"/>
      <c r="B97" s="13"/>
      <c r="C97" s="12"/>
      <c r="D97" s="12"/>
      <c r="E97" s="12"/>
      <c r="F97" s="12"/>
      <c r="G97" s="14"/>
      <c r="H97" s="14"/>
      <c r="I97" s="12"/>
      <c r="J97" s="15"/>
      <c r="K97" s="13"/>
      <c r="L97" s="13"/>
      <c r="M97" s="16" t="str">
        <f aca="false">IFERROR(INDEX(Hooks!$B:$B,MATCH($C97,Hooks!$A:$A,0)),"")</f>
        <v/>
      </c>
      <c r="N97" s="17" t="str">
        <f aca="false">IF($A97="","",$A97&amp;"_"&amp;TEXT($B97,"00")&amp;"_"&amp;$D97&amp;"_9x16")</f>
        <v/>
      </c>
      <c r="O97" s="17" t="str">
        <f aca="false">IFERROR(INDEX(Ref!$G:$G,MATCH($F97,Ref!$F:$F,0)),"")</f>
        <v/>
      </c>
    </row>
    <row r="98" customFormat="false" ht="15" hidden="false" customHeight="false" outlineLevel="0" collapsed="false">
      <c r="A98" s="12"/>
      <c r="B98" s="13"/>
      <c r="C98" s="12"/>
      <c r="D98" s="12"/>
      <c r="E98" s="12"/>
      <c r="F98" s="12"/>
      <c r="G98" s="14"/>
      <c r="H98" s="14"/>
      <c r="I98" s="12"/>
      <c r="J98" s="15"/>
      <c r="K98" s="13"/>
      <c r="L98" s="13"/>
      <c r="M98" s="16" t="str">
        <f aca="false">IFERROR(INDEX(Hooks!$B:$B,MATCH($C98,Hooks!$A:$A,0)),"")</f>
        <v/>
      </c>
      <c r="N98" s="17" t="str">
        <f aca="false">IF($A98="","",$A98&amp;"_"&amp;TEXT($B98,"00")&amp;"_"&amp;$D98&amp;"_9x16")</f>
        <v/>
      </c>
      <c r="O98" s="17" t="str">
        <f aca="false">IFERROR(INDEX(Ref!$G:$G,MATCH($F98,Ref!$F:$F,0)),"")</f>
        <v/>
      </c>
    </row>
    <row r="99" customFormat="false" ht="15" hidden="false" customHeight="false" outlineLevel="0" collapsed="false">
      <c r="A99" s="12"/>
      <c r="B99" s="13"/>
      <c r="C99" s="12"/>
      <c r="D99" s="12"/>
      <c r="E99" s="12"/>
      <c r="F99" s="12"/>
      <c r="G99" s="14"/>
      <c r="H99" s="14"/>
      <c r="I99" s="12"/>
      <c r="J99" s="15"/>
      <c r="K99" s="13"/>
      <c r="L99" s="13"/>
      <c r="M99" s="16" t="str">
        <f aca="false">IFERROR(INDEX(Hooks!$B:$B,MATCH($C99,Hooks!$A:$A,0)),"")</f>
        <v/>
      </c>
      <c r="N99" s="17" t="str">
        <f aca="false">IF($A99="","",$A99&amp;"_"&amp;TEXT($B99,"00")&amp;"_"&amp;$D99&amp;"_9x16")</f>
        <v/>
      </c>
      <c r="O99" s="17" t="str">
        <f aca="false">IFERROR(INDEX(Ref!$G:$G,MATCH($F99,Ref!$F:$F,0)),"")</f>
        <v/>
      </c>
    </row>
    <row r="100" customFormat="false" ht="15" hidden="false" customHeight="false" outlineLevel="0" collapsed="false">
      <c r="A100" s="12"/>
      <c r="B100" s="13"/>
      <c r="C100" s="12"/>
      <c r="D100" s="12"/>
      <c r="E100" s="12"/>
      <c r="F100" s="12"/>
      <c r="G100" s="14"/>
      <c r="H100" s="14"/>
      <c r="I100" s="12"/>
      <c r="J100" s="15"/>
      <c r="K100" s="13"/>
      <c r="L100" s="13"/>
      <c r="M100" s="16" t="str">
        <f aca="false">IFERROR(INDEX(Hooks!$B:$B,MATCH($C100,Hooks!$A:$A,0)),"")</f>
        <v/>
      </c>
      <c r="N100" s="17" t="str">
        <f aca="false">IF($A100="","",$A100&amp;"_"&amp;TEXT($B100,"00")&amp;"_"&amp;$D100&amp;"_9x16")</f>
        <v/>
      </c>
      <c r="O100" s="17" t="str">
        <f aca="false">IFERROR(INDEX(Ref!$G:$G,MATCH($F100,Ref!$F:$F,0)),"")</f>
        <v/>
      </c>
    </row>
    <row r="101" customFormat="false" ht="15" hidden="false" customHeight="false" outlineLevel="0" collapsed="false">
      <c r="A101" s="12"/>
      <c r="B101" s="13"/>
      <c r="C101" s="12"/>
      <c r="D101" s="12"/>
      <c r="E101" s="12"/>
      <c r="F101" s="12"/>
      <c r="G101" s="14"/>
      <c r="H101" s="14"/>
      <c r="I101" s="12"/>
      <c r="J101" s="15"/>
      <c r="K101" s="13"/>
      <c r="L101" s="13"/>
      <c r="M101" s="16" t="str">
        <f aca="false">IFERROR(INDEX(Hooks!$B:$B,MATCH($C101,Hooks!$A:$A,0)),"")</f>
        <v/>
      </c>
      <c r="N101" s="17" t="str">
        <f aca="false">IF($A101="","",$A101&amp;"_"&amp;TEXT($B101,"00")&amp;"_"&amp;$D101&amp;"_9x16")</f>
        <v/>
      </c>
      <c r="O101" s="17" t="str">
        <f aca="false">IFERROR(INDEX(Ref!$G:$G,MATCH($F101,Ref!$F:$F,0)),"")</f>
        <v/>
      </c>
    </row>
    <row r="102" customFormat="false" ht="15" hidden="false" customHeight="false" outlineLevel="0" collapsed="false">
      <c r="A102" s="12"/>
      <c r="B102" s="13"/>
      <c r="C102" s="12"/>
      <c r="D102" s="12"/>
      <c r="E102" s="12"/>
      <c r="F102" s="12"/>
      <c r="G102" s="14"/>
      <c r="H102" s="14"/>
      <c r="I102" s="12"/>
      <c r="J102" s="15"/>
      <c r="K102" s="13"/>
      <c r="L102" s="13"/>
      <c r="M102" s="16" t="str">
        <f aca="false">IFERROR(INDEX(Hooks!$B:$B,MATCH($C102,Hooks!$A:$A,0)),"")</f>
        <v/>
      </c>
      <c r="N102" s="17" t="str">
        <f aca="false">IF($A102="","",$A102&amp;"_"&amp;TEXT($B102,"00")&amp;"_"&amp;$D102&amp;"_9x16")</f>
        <v/>
      </c>
      <c r="O102" s="17" t="str">
        <f aca="false">IFERROR(INDEX(Ref!$G:$G,MATCH($F102,Ref!$F:$F,0)),"")</f>
        <v/>
      </c>
    </row>
    <row r="103" customFormat="false" ht="15" hidden="false" customHeight="false" outlineLevel="0" collapsed="false">
      <c r="A103" s="12"/>
      <c r="B103" s="13"/>
      <c r="C103" s="12"/>
      <c r="D103" s="12"/>
      <c r="E103" s="12"/>
      <c r="F103" s="12"/>
      <c r="G103" s="14"/>
      <c r="H103" s="14"/>
      <c r="I103" s="12"/>
      <c r="J103" s="15"/>
      <c r="K103" s="13"/>
      <c r="L103" s="13"/>
      <c r="M103" s="16" t="str">
        <f aca="false">IFERROR(INDEX(Hooks!$B:$B,MATCH($C103,Hooks!$A:$A,0)),"")</f>
        <v/>
      </c>
      <c r="N103" s="17" t="str">
        <f aca="false">IF($A103="","",$A103&amp;"_"&amp;TEXT($B103,"00")&amp;"_"&amp;$D103&amp;"_9x16")</f>
        <v/>
      </c>
      <c r="O103" s="17" t="str">
        <f aca="false">IFERROR(INDEX(Ref!$G:$G,MATCH($F103,Ref!$F:$F,0)),"")</f>
        <v/>
      </c>
    </row>
    <row r="104" customFormat="false" ht="15" hidden="false" customHeight="false" outlineLevel="0" collapsed="false">
      <c r="A104" s="12"/>
      <c r="B104" s="13"/>
      <c r="C104" s="12"/>
      <c r="D104" s="12"/>
      <c r="E104" s="12"/>
      <c r="F104" s="12"/>
      <c r="G104" s="14"/>
      <c r="H104" s="14"/>
      <c r="I104" s="12"/>
      <c r="J104" s="15"/>
      <c r="K104" s="13"/>
      <c r="L104" s="13"/>
      <c r="M104" s="16" t="str">
        <f aca="false">IFERROR(INDEX(Hooks!$B:$B,MATCH($C104,Hooks!$A:$A,0)),"")</f>
        <v/>
      </c>
      <c r="N104" s="17" t="str">
        <f aca="false">IF($A104="","",$A104&amp;"_"&amp;TEXT($B104,"00")&amp;"_"&amp;$D104&amp;"_9x16")</f>
        <v/>
      </c>
      <c r="O104" s="17" t="str">
        <f aca="false">IFERROR(INDEX(Ref!$G:$G,MATCH($F104,Ref!$F:$F,0)),"")</f>
        <v/>
      </c>
    </row>
    <row r="105" customFormat="false" ht="15" hidden="false" customHeight="false" outlineLevel="0" collapsed="false">
      <c r="A105" s="12"/>
      <c r="B105" s="13"/>
      <c r="C105" s="12"/>
      <c r="D105" s="12"/>
      <c r="E105" s="12"/>
      <c r="F105" s="12"/>
      <c r="G105" s="14"/>
      <c r="H105" s="14"/>
      <c r="I105" s="12"/>
      <c r="J105" s="15"/>
      <c r="K105" s="13"/>
      <c r="L105" s="13"/>
      <c r="M105" s="16" t="str">
        <f aca="false">IFERROR(INDEX(Hooks!$B:$B,MATCH($C105,Hooks!$A:$A,0)),"")</f>
        <v/>
      </c>
      <c r="N105" s="17" t="str">
        <f aca="false">IF($A105="","",$A105&amp;"_"&amp;TEXT($B105,"00")&amp;"_"&amp;$D105&amp;"_9x16")</f>
        <v/>
      </c>
      <c r="O105" s="17" t="str">
        <f aca="false">IFERROR(INDEX(Ref!$G:$G,MATCH($F105,Ref!$F:$F,0)),"")</f>
        <v/>
      </c>
    </row>
    <row r="106" customFormat="false" ht="15" hidden="false" customHeight="false" outlineLevel="0" collapsed="false">
      <c r="A106" s="12"/>
      <c r="B106" s="13"/>
      <c r="C106" s="12"/>
      <c r="D106" s="12"/>
      <c r="E106" s="12"/>
      <c r="F106" s="12"/>
      <c r="G106" s="14"/>
      <c r="H106" s="14"/>
      <c r="I106" s="12"/>
      <c r="J106" s="15"/>
      <c r="K106" s="13"/>
      <c r="L106" s="13"/>
      <c r="M106" s="16" t="str">
        <f aca="false">IFERROR(INDEX(Hooks!$B:$B,MATCH($C106,Hooks!$A:$A,0)),"")</f>
        <v/>
      </c>
      <c r="N106" s="17" t="str">
        <f aca="false">IF($A106="","",$A106&amp;"_"&amp;TEXT($B106,"00")&amp;"_"&amp;$D106&amp;"_9x16")</f>
        <v/>
      </c>
      <c r="O106" s="17" t="str">
        <f aca="false">IFERROR(INDEX(Ref!$G:$G,MATCH($F106,Ref!$F:$F,0)),"")</f>
        <v/>
      </c>
    </row>
    <row r="107" customFormat="false" ht="15" hidden="false" customHeight="false" outlineLevel="0" collapsed="false">
      <c r="A107" s="12"/>
      <c r="B107" s="13"/>
      <c r="C107" s="12"/>
      <c r="D107" s="12"/>
      <c r="E107" s="12"/>
      <c r="F107" s="12"/>
      <c r="G107" s="14"/>
      <c r="H107" s="14"/>
      <c r="I107" s="12"/>
      <c r="J107" s="15"/>
      <c r="K107" s="13"/>
      <c r="L107" s="13"/>
      <c r="M107" s="16" t="str">
        <f aca="false">IFERROR(INDEX(Hooks!$B:$B,MATCH($C107,Hooks!$A:$A,0)),"")</f>
        <v/>
      </c>
      <c r="N107" s="17" t="str">
        <f aca="false">IF($A107="","",$A107&amp;"_"&amp;TEXT($B107,"00")&amp;"_"&amp;$D107&amp;"_9x16")</f>
        <v/>
      </c>
      <c r="O107" s="17" t="str">
        <f aca="false">IFERROR(INDEX(Ref!$G:$G,MATCH($F107,Ref!$F:$F,0)),"")</f>
        <v/>
      </c>
    </row>
    <row r="108" customFormat="false" ht="15" hidden="false" customHeight="false" outlineLevel="0" collapsed="false">
      <c r="A108" s="12"/>
      <c r="B108" s="13"/>
      <c r="C108" s="12"/>
      <c r="D108" s="12"/>
      <c r="E108" s="12"/>
      <c r="F108" s="12"/>
      <c r="G108" s="14"/>
      <c r="H108" s="14"/>
      <c r="I108" s="12"/>
      <c r="J108" s="15"/>
      <c r="K108" s="13"/>
      <c r="L108" s="13"/>
      <c r="M108" s="16" t="str">
        <f aca="false">IFERROR(INDEX(Hooks!$B:$B,MATCH($C108,Hooks!$A:$A,0)),"")</f>
        <v/>
      </c>
      <c r="N108" s="17" t="str">
        <f aca="false">IF($A108="","",$A108&amp;"_"&amp;TEXT($B108,"00")&amp;"_"&amp;$D108&amp;"_9x16")</f>
        <v/>
      </c>
      <c r="O108" s="17" t="str">
        <f aca="false">IFERROR(INDEX(Ref!$G:$G,MATCH($F108,Ref!$F:$F,0)),"")</f>
        <v/>
      </c>
    </row>
    <row r="109" customFormat="false" ht="15" hidden="false" customHeight="false" outlineLevel="0" collapsed="false">
      <c r="A109" s="12"/>
      <c r="B109" s="13"/>
      <c r="C109" s="12"/>
      <c r="D109" s="12"/>
      <c r="E109" s="12"/>
      <c r="F109" s="12"/>
      <c r="G109" s="14"/>
      <c r="H109" s="14"/>
      <c r="I109" s="12"/>
      <c r="J109" s="15"/>
      <c r="K109" s="13"/>
      <c r="L109" s="13"/>
      <c r="M109" s="16" t="str">
        <f aca="false">IFERROR(INDEX(Hooks!$B:$B,MATCH($C109,Hooks!$A:$A,0)),"")</f>
        <v/>
      </c>
      <c r="N109" s="17" t="str">
        <f aca="false">IF($A109="","",$A109&amp;"_"&amp;TEXT($B109,"00")&amp;"_"&amp;$D109&amp;"_9x16")</f>
        <v/>
      </c>
      <c r="O109" s="17" t="str">
        <f aca="false">IFERROR(INDEX(Ref!$G:$G,MATCH($F109,Ref!$F:$F,0)),"")</f>
        <v/>
      </c>
    </row>
    <row r="110" customFormat="false" ht="15" hidden="false" customHeight="false" outlineLevel="0" collapsed="false">
      <c r="A110" s="12"/>
      <c r="B110" s="13"/>
      <c r="C110" s="12"/>
      <c r="D110" s="12"/>
      <c r="E110" s="12"/>
      <c r="F110" s="12"/>
      <c r="G110" s="14"/>
      <c r="H110" s="14"/>
      <c r="I110" s="12"/>
      <c r="J110" s="15"/>
      <c r="K110" s="13"/>
      <c r="L110" s="13"/>
      <c r="M110" s="16" t="str">
        <f aca="false">IFERROR(INDEX(Hooks!$B:$B,MATCH($C110,Hooks!$A:$A,0)),"")</f>
        <v/>
      </c>
      <c r="N110" s="17" t="str">
        <f aca="false">IF($A110="","",$A110&amp;"_"&amp;TEXT($B110,"00")&amp;"_"&amp;$D110&amp;"_9x16")</f>
        <v/>
      </c>
      <c r="O110" s="17" t="str">
        <f aca="false">IFERROR(INDEX(Ref!$G:$G,MATCH($F110,Ref!$F:$F,0)),"")</f>
        <v/>
      </c>
    </row>
    <row r="111" customFormat="false" ht="15" hidden="false" customHeight="false" outlineLevel="0" collapsed="false">
      <c r="A111" s="12"/>
      <c r="B111" s="13"/>
      <c r="C111" s="12"/>
      <c r="D111" s="12"/>
      <c r="E111" s="12"/>
      <c r="F111" s="12"/>
      <c r="G111" s="14"/>
      <c r="H111" s="14"/>
      <c r="I111" s="12"/>
      <c r="J111" s="15"/>
      <c r="K111" s="13"/>
      <c r="L111" s="13"/>
      <c r="M111" s="16" t="str">
        <f aca="false">IFERROR(INDEX(Hooks!$B:$B,MATCH($C111,Hooks!$A:$A,0)),"")</f>
        <v/>
      </c>
      <c r="N111" s="17" t="str">
        <f aca="false">IF($A111="","",$A111&amp;"_"&amp;TEXT($B111,"00")&amp;"_"&amp;$D111&amp;"_9x16")</f>
        <v/>
      </c>
      <c r="O111" s="17" t="str">
        <f aca="false">IFERROR(INDEX(Ref!$G:$G,MATCH($F111,Ref!$F:$F,0)),"")</f>
        <v/>
      </c>
    </row>
    <row r="112" customFormat="false" ht="15" hidden="false" customHeight="false" outlineLevel="0" collapsed="false">
      <c r="A112" s="12"/>
      <c r="B112" s="13"/>
      <c r="C112" s="12"/>
      <c r="D112" s="12"/>
      <c r="E112" s="12"/>
      <c r="F112" s="12"/>
      <c r="G112" s="14"/>
      <c r="H112" s="14"/>
      <c r="I112" s="12"/>
      <c r="J112" s="15"/>
      <c r="K112" s="13"/>
      <c r="L112" s="13"/>
      <c r="M112" s="16" t="str">
        <f aca="false">IFERROR(INDEX(Hooks!$B:$B,MATCH($C112,Hooks!$A:$A,0)),"")</f>
        <v/>
      </c>
      <c r="N112" s="17" t="str">
        <f aca="false">IF($A112="","",$A112&amp;"_"&amp;TEXT($B112,"00")&amp;"_"&amp;$D112&amp;"_9x16")</f>
        <v/>
      </c>
      <c r="O112" s="17" t="str">
        <f aca="false">IFERROR(INDEX(Ref!$G:$G,MATCH($F112,Ref!$F:$F,0)),"")</f>
        <v/>
      </c>
    </row>
    <row r="113" customFormat="false" ht="15" hidden="false" customHeight="false" outlineLevel="0" collapsed="false">
      <c r="A113" s="12"/>
      <c r="B113" s="13"/>
      <c r="C113" s="12"/>
      <c r="D113" s="12"/>
      <c r="E113" s="12"/>
      <c r="F113" s="12"/>
      <c r="G113" s="14"/>
      <c r="H113" s="14"/>
      <c r="I113" s="12"/>
      <c r="J113" s="15"/>
      <c r="K113" s="13"/>
      <c r="L113" s="13"/>
      <c r="M113" s="16" t="str">
        <f aca="false">IFERROR(INDEX(Hooks!$B:$B,MATCH($C113,Hooks!$A:$A,0)),"")</f>
        <v/>
      </c>
      <c r="N113" s="17" t="str">
        <f aca="false">IF($A113="","",$A113&amp;"_"&amp;TEXT($B113,"00")&amp;"_"&amp;$D113&amp;"_9x16")</f>
        <v/>
      </c>
      <c r="O113" s="17" t="str">
        <f aca="false">IFERROR(INDEX(Ref!$G:$G,MATCH($F113,Ref!$F:$F,0)),"")</f>
        <v/>
      </c>
    </row>
    <row r="114" customFormat="false" ht="15" hidden="false" customHeight="false" outlineLevel="0" collapsed="false">
      <c r="A114" s="12"/>
      <c r="B114" s="13"/>
      <c r="C114" s="12"/>
      <c r="D114" s="12"/>
      <c r="E114" s="12"/>
      <c r="F114" s="12"/>
      <c r="G114" s="14"/>
      <c r="H114" s="14"/>
      <c r="I114" s="12"/>
      <c r="J114" s="15"/>
      <c r="K114" s="13"/>
      <c r="L114" s="13"/>
      <c r="M114" s="16" t="str">
        <f aca="false">IFERROR(INDEX(Hooks!$B:$B,MATCH($C114,Hooks!$A:$A,0)),"")</f>
        <v/>
      </c>
      <c r="N114" s="17" t="str">
        <f aca="false">IF($A114="","",$A114&amp;"_"&amp;TEXT($B114,"00")&amp;"_"&amp;$D114&amp;"_9x16")</f>
        <v/>
      </c>
      <c r="O114" s="17" t="str">
        <f aca="false">IFERROR(INDEX(Ref!$G:$G,MATCH($F114,Ref!$F:$F,0)),"")</f>
        <v/>
      </c>
    </row>
    <row r="115" customFormat="false" ht="15" hidden="false" customHeight="false" outlineLevel="0" collapsed="false">
      <c r="A115" s="12"/>
      <c r="B115" s="13"/>
      <c r="C115" s="12"/>
      <c r="D115" s="12"/>
      <c r="E115" s="12"/>
      <c r="F115" s="12"/>
      <c r="G115" s="14"/>
      <c r="H115" s="14"/>
      <c r="I115" s="12"/>
      <c r="J115" s="15"/>
      <c r="K115" s="13"/>
      <c r="L115" s="13"/>
      <c r="M115" s="16" t="str">
        <f aca="false">IFERROR(INDEX(Hooks!$B:$B,MATCH($C115,Hooks!$A:$A,0)),"")</f>
        <v/>
      </c>
      <c r="N115" s="17" t="str">
        <f aca="false">IF($A115="","",$A115&amp;"_"&amp;TEXT($B115,"00")&amp;"_"&amp;$D115&amp;"_9x16")</f>
        <v/>
      </c>
      <c r="O115" s="17" t="str">
        <f aca="false">IFERROR(INDEX(Ref!$G:$G,MATCH($F115,Ref!$F:$F,0)),"")</f>
        <v/>
      </c>
    </row>
    <row r="116" customFormat="false" ht="15" hidden="false" customHeight="false" outlineLevel="0" collapsed="false">
      <c r="A116" s="12"/>
      <c r="B116" s="13"/>
      <c r="C116" s="12"/>
      <c r="D116" s="12"/>
      <c r="E116" s="12"/>
      <c r="F116" s="12"/>
      <c r="G116" s="14"/>
      <c r="H116" s="14"/>
      <c r="I116" s="12"/>
      <c r="J116" s="15"/>
      <c r="K116" s="13"/>
      <c r="L116" s="13"/>
      <c r="M116" s="16" t="str">
        <f aca="false">IFERROR(INDEX(Hooks!$B:$B,MATCH($C116,Hooks!$A:$A,0)),"")</f>
        <v/>
      </c>
      <c r="N116" s="17" t="str">
        <f aca="false">IF($A116="","",$A116&amp;"_"&amp;TEXT($B116,"00")&amp;"_"&amp;$D116&amp;"_9x16")</f>
        <v/>
      </c>
      <c r="O116" s="17" t="str">
        <f aca="false">IFERROR(INDEX(Ref!$G:$G,MATCH($F116,Ref!$F:$F,0)),"")</f>
        <v/>
      </c>
    </row>
    <row r="117" customFormat="false" ht="15" hidden="false" customHeight="false" outlineLevel="0" collapsed="false">
      <c r="A117" s="12"/>
      <c r="B117" s="13"/>
      <c r="C117" s="12"/>
      <c r="D117" s="12"/>
      <c r="E117" s="12"/>
      <c r="F117" s="12"/>
      <c r="G117" s="14"/>
      <c r="H117" s="14"/>
      <c r="I117" s="12"/>
      <c r="J117" s="15"/>
      <c r="K117" s="13"/>
      <c r="L117" s="13"/>
      <c r="M117" s="16" t="str">
        <f aca="false">IFERROR(INDEX(Hooks!$B:$B,MATCH($C117,Hooks!$A:$A,0)),"")</f>
        <v/>
      </c>
      <c r="N117" s="17" t="str">
        <f aca="false">IF($A117="","",$A117&amp;"_"&amp;TEXT($B117,"00")&amp;"_"&amp;$D117&amp;"_9x16")</f>
        <v/>
      </c>
      <c r="O117" s="17" t="str">
        <f aca="false">IFERROR(INDEX(Ref!$G:$G,MATCH($F117,Ref!$F:$F,0)),"")</f>
        <v/>
      </c>
    </row>
    <row r="118" customFormat="false" ht="15" hidden="false" customHeight="false" outlineLevel="0" collapsed="false">
      <c r="A118" s="12"/>
      <c r="B118" s="13"/>
      <c r="C118" s="12"/>
      <c r="D118" s="12"/>
      <c r="E118" s="12"/>
      <c r="F118" s="12"/>
      <c r="G118" s="14"/>
      <c r="H118" s="14"/>
      <c r="I118" s="12"/>
      <c r="J118" s="15"/>
      <c r="K118" s="13"/>
      <c r="L118" s="13"/>
      <c r="M118" s="16" t="str">
        <f aca="false">IFERROR(INDEX(Hooks!$B:$B,MATCH($C118,Hooks!$A:$A,0)),"")</f>
        <v/>
      </c>
      <c r="N118" s="17" t="str">
        <f aca="false">IF($A118="","",$A118&amp;"_"&amp;TEXT($B118,"00")&amp;"_"&amp;$D118&amp;"_9x16")</f>
        <v/>
      </c>
      <c r="O118" s="17" t="str">
        <f aca="false">IFERROR(INDEX(Ref!$G:$G,MATCH($F118,Ref!$F:$F,0)),"")</f>
        <v/>
      </c>
    </row>
    <row r="119" customFormat="false" ht="15" hidden="false" customHeight="false" outlineLevel="0" collapsed="false">
      <c r="A119" s="12"/>
      <c r="B119" s="13"/>
      <c r="C119" s="12"/>
      <c r="D119" s="12"/>
      <c r="E119" s="12"/>
      <c r="F119" s="12"/>
      <c r="G119" s="14"/>
      <c r="H119" s="14"/>
      <c r="I119" s="12"/>
      <c r="J119" s="15"/>
      <c r="K119" s="13"/>
      <c r="L119" s="13"/>
      <c r="M119" s="16" t="str">
        <f aca="false">IFERROR(INDEX(Hooks!$B:$B,MATCH($C119,Hooks!$A:$A,0)),"")</f>
        <v/>
      </c>
      <c r="N119" s="17" t="str">
        <f aca="false">IF($A119="","",$A119&amp;"_"&amp;TEXT($B119,"00")&amp;"_"&amp;$D119&amp;"_9x16")</f>
        <v/>
      </c>
      <c r="O119" s="17" t="str">
        <f aca="false">IFERROR(INDEX(Ref!$G:$G,MATCH($F119,Ref!$F:$F,0)),"")</f>
        <v/>
      </c>
    </row>
    <row r="120" customFormat="false" ht="15" hidden="false" customHeight="false" outlineLevel="0" collapsed="false">
      <c r="A120" s="12"/>
      <c r="B120" s="13"/>
      <c r="C120" s="12"/>
      <c r="D120" s="12"/>
      <c r="E120" s="12"/>
      <c r="F120" s="12"/>
      <c r="G120" s="14"/>
      <c r="H120" s="14"/>
      <c r="I120" s="12"/>
      <c r="J120" s="15"/>
      <c r="K120" s="13"/>
      <c r="L120" s="13"/>
      <c r="M120" s="16" t="str">
        <f aca="false">IFERROR(INDEX(Hooks!$B:$B,MATCH($C120,Hooks!$A:$A,0)),"")</f>
        <v/>
      </c>
      <c r="N120" s="17" t="str">
        <f aca="false">IF($A120="","",$A120&amp;"_"&amp;TEXT($B120,"00")&amp;"_"&amp;$D120&amp;"_9x16")</f>
        <v/>
      </c>
      <c r="O120" s="17" t="str">
        <f aca="false">IFERROR(INDEX(Ref!$G:$G,MATCH($F120,Ref!$F:$F,0)),"")</f>
        <v/>
      </c>
    </row>
    <row r="121" customFormat="false" ht="15" hidden="false" customHeight="false" outlineLevel="0" collapsed="false">
      <c r="A121" s="12"/>
      <c r="B121" s="13"/>
      <c r="C121" s="12"/>
      <c r="D121" s="12"/>
      <c r="E121" s="12"/>
      <c r="F121" s="12"/>
      <c r="G121" s="14"/>
      <c r="H121" s="14"/>
      <c r="I121" s="12"/>
      <c r="J121" s="15"/>
      <c r="K121" s="13"/>
      <c r="L121" s="13"/>
      <c r="M121" s="16" t="str">
        <f aca="false">IFERROR(INDEX(Hooks!$B:$B,MATCH($C121,Hooks!$A:$A,0)),"")</f>
        <v/>
      </c>
      <c r="N121" s="17" t="str">
        <f aca="false">IF($A121="","",$A121&amp;"_"&amp;TEXT($B121,"00")&amp;"_"&amp;$D121&amp;"_9x16")</f>
        <v/>
      </c>
      <c r="O121" s="17" t="str">
        <f aca="false">IFERROR(INDEX(Ref!$G:$G,MATCH($F121,Ref!$F:$F,0)),"")</f>
        <v/>
      </c>
    </row>
    <row r="122" customFormat="false" ht="15" hidden="false" customHeight="false" outlineLevel="0" collapsed="false">
      <c r="A122" s="12"/>
      <c r="B122" s="13"/>
      <c r="C122" s="12"/>
      <c r="D122" s="12"/>
      <c r="E122" s="12"/>
      <c r="F122" s="12"/>
      <c r="G122" s="14"/>
      <c r="H122" s="14"/>
      <c r="I122" s="12"/>
      <c r="J122" s="15"/>
      <c r="K122" s="13"/>
      <c r="L122" s="13"/>
      <c r="M122" s="16" t="str">
        <f aca="false">IFERROR(INDEX(Hooks!$B:$B,MATCH($C122,Hooks!$A:$A,0)),"")</f>
        <v/>
      </c>
      <c r="N122" s="17" t="str">
        <f aca="false">IF($A122="","",$A122&amp;"_"&amp;TEXT($B122,"00")&amp;"_"&amp;$D122&amp;"_9x16")</f>
        <v/>
      </c>
      <c r="O122" s="17" t="str">
        <f aca="false">IFERROR(INDEX(Ref!$G:$G,MATCH($F122,Ref!$F:$F,0)),"")</f>
        <v/>
      </c>
    </row>
    <row r="123" customFormat="false" ht="15" hidden="false" customHeight="false" outlineLevel="0" collapsed="false">
      <c r="A123" s="12"/>
      <c r="B123" s="13"/>
      <c r="C123" s="12"/>
      <c r="D123" s="12"/>
      <c r="E123" s="12"/>
      <c r="F123" s="12"/>
      <c r="G123" s="14"/>
      <c r="H123" s="14"/>
      <c r="I123" s="12"/>
      <c r="J123" s="15"/>
      <c r="K123" s="13"/>
      <c r="L123" s="13"/>
      <c r="M123" s="16" t="str">
        <f aca="false">IFERROR(INDEX(Hooks!$B:$B,MATCH($C123,Hooks!$A:$A,0)),"")</f>
        <v/>
      </c>
      <c r="N123" s="17" t="str">
        <f aca="false">IF($A123="","",$A123&amp;"_"&amp;TEXT($B123,"00")&amp;"_"&amp;$D123&amp;"_9x16")</f>
        <v/>
      </c>
      <c r="O123" s="17" t="str">
        <f aca="false">IFERROR(INDEX(Ref!$G:$G,MATCH($F123,Ref!$F:$F,0)),"")</f>
        <v/>
      </c>
    </row>
    <row r="124" customFormat="false" ht="15" hidden="false" customHeight="false" outlineLevel="0" collapsed="false">
      <c r="A124" s="12"/>
      <c r="B124" s="13"/>
      <c r="C124" s="12"/>
      <c r="D124" s="12"/>
      <c r="E124" s="12"/>
      <c r="F124" s="12"/>
      <c r="G124" s="14"/>
      <c r="H124" s="14"/>
      <c r="I124" s="12"/>
      <c r="J124" s="15"/>
      <c r="K124" s="13"/>
      <c r="L124" s="13"/>
      <c r="M124" s="16" t="str">
        <f aca="false">IFERROR(INDEX(Hooks!$B:$B,MATCH($C124,Hooks!$A:$A,0)),"")</f>
        <v/>
      </c>
      <c r="N124" s="17" t="str">
        <f aca="false">IF($A124="","",$A124&amp;"_"&amp;TEXT($B124,"00")&amp;"_"&amp;$D124&amp;"_9x16")</f>
        <v/>
      </c>
      <c r="O124" s="17" t="str">
        <f aca="false">IFERROR(INDEX(Ref!$G:$G,MATCH($F124,Ref!$F:$F,0)),"")</f>
        <v/>
      </c>
    </row>
    <row r="125" customFormat="false" ht="15" hidden="false" customHeight="false" outlineLevel="0" collapsed="false">
      <c r="A125" s="12"/>
      <c r="B125" s="13"/>
      <c r="C125" s="12"/>
      <c r="D125" s="12"/>
      <c r="E125" s="12"/>
      <c r="F125" s="12"/>
      <c r="G125" s="14"/>
      <c r="H125" s="14"/>
      <c r="I125" s="12"/>
      <c r="J125" s="15"/>
      <c r="K125" s="13"/>
      <c r="L125" s="13"/>
      <c r="M125" s="16" t="str">
        <f aca="false">IFERROR(INDEX(Hooks!$B:$B,MATCH($C125,Hooks!$A:$A,0)),"")</f>
        <v/>
      </c>
      <c r="N125" s="17" t="str">
        <f aca="false">IF($A125="","",$A125&amp;"_"&amp;TEXT($B125,"00")&amp;"_"&amp;$D125&amp;"_9x16")</f>
        <v/>
      </c>
      <c r="O125" s="17" t="str">
        <f aca="false">IFERROR(INDEX(Ref!$G:$G,MATCH($F125,Ref!$F:$F,0)),"")</f>
        <v/>
      </c>
    </row>
    <row r="126" customFormat="false" ht="15" hidden="false" customHeight="false" outlineLevel="0" collapsed="false">
      <c r="A126" s="12"/>
      <c r="B126" s="13"/>
      <c r="C126" s="12"/>
      <c r="D126" s="12"/>
      <c r="E126" s="12"/>
      <c r="F126" s="12"/>
      <c r="G126" s="14"/>
      <c r="H126" s="14"/>
      <c r="I126" s="12"/>
      <c r="J126" s="15"/>
      <c r="K126" s="13"/>
      <c r="L126" s="13"/>
      <c r="M126" s="16" t="str">
        <f aca="false">IFERROR(INDEX(Hooks!$B:$B,MATCH($C126,Hooks!$A:$A,0)),"")</f>
        <v/>
      </c>
      <c r="N126" s="17" t="str">
        <f aca="false">IF($A126="","",$A126&amp;"_"&amp;TEXT($B126,"00")&amp;"_"&amp;$D126&amp;"_9x16")</f>
        <v/>
      </c>
      <c r="O126" s="17" t="str">
        <f aca="false">IFERROR(INDEX(Ref!$G:$G,MATCH($F126,Ref!$F:$F,0)),"")</f>
        <v/>
      </c>
    </row>
    <row r="127" customFormat="false" ht="15" hidden="false" customHeight="false" outlineLevel="0" collapsed="false">
      <c r="A127" s="12"/>
      <c r="B127" s="13"/>
      <c r="C127" s="12"/>
      <c r="D127" s="12"/>
      <c r="E127" s="12"/>
      <c r="F127" s="12"/>
      <c r="G127" s="14"/>
      <c r="H127" s="14"/>
      <c r="I127" s="12"/>
      <c r="J127" s="15"/>
      <c r="K127" s="13"/>
      <c r="L127" s="13"/>
      <c r="M127" s="16" t="str">
        <f aca="false">IFERROR(INDEX(Hooks!$B:$B,MATCH($C127,Hooks!$A:$A,0)),"")</f>
        <v/>
      </c>
      <c r="N127" s="17" t="str">
        <f aca="false">IF($A127="","",$A127&amp;"_"&amp;TEXT($B127,"00")&amp;"_"&amp;$D127&amp;"_9x16")</f>
        <v/>
      </c>
      <c r="O127" s="17" t="str">
        <f aca="false">IFERROR(INDEX(Ref!$G:$G,MATCH($F127,Ref!$F:$F,0)),"")</f>
        <v/>
      </c>
    </row>
    <row r="128" customFormat="false" ht="15" hidden="false" customHeight="false" outlineLevel="0" collapsed="false">
      <c r="A128" s="12"/>
      <c r="B128" s="13"/>
      <c r="C128" s="12"/>
      <c r="D128" s="12"/>
      <c r="E128" s="12"/>
      <c r="F128" s="12"/>
      <c r="G128" s="14"/>
      <c r="H128" s="14"/>
      <c r="I128" s="12"/>
      <c r="J128" s="15"/>
      <c r="K128" s="13"/>
      <c r="L128" s="13"/>
      <c r="M128" s="16" t="str">
        <f aca="false">IFERROR(INDEX(Hooks!$B:$B,MATCH($C128,Hooks!$A:$A,0)),"")</f>
        <v/>
      </c>
      <c r="N128" s="17" t="str">
        <f aca="false">IF($A128="","",$A128&amp;"_"&amp;TEXT($B128,"00")&amp;"_"&amp;$D128&amp;"_9x16")</f>
        <v/>
      </c>
      <c r="O128" s="17" t="str">
        <f aca="false">IFERROR(INDEX(Ref!$G:$G,MATCH($F128,Ref!$F:$F,0)),"")</f>
        <v/>
      </c>
    </row>
    <row r="129" customFormat="false" ht="15" hidden="false" customHeight="false" outlineLevel="0" collapsed="false">
      <c r="A129" s="12"/>
      <c r="B129" s="13"/>
      <c r="C129" s="12"/>
      <c r="D129" s="12"/>
      <c r="E129" s="12"/>
      <c r="F129" s="12"/>
      <c r="G129" s="14"/>
      <c r="H129" s="14"/>
      <c r="I129" s="12"/>
      <c r="J129" s="15"/>
      <c r="K129" s="13"/>
      <c r="L129" s="13"/>
      <c r="M129" s="16" t="str">
        <f aca="false">IFERROR(INDEX(Hooks!$B:$B,MATCH($C129,Hooks!$A:$A,0)),"")</f>
        <v/>
      </c>
      <c r="N129" s="17" t="str">
        <f aca="false">IF($A129="","",$A129&amp;"_"&amp;TEXT($B129,"00")&amp;"_"&amp;$D129&amp;"_9x16")</f>
        <v/>
      </c>
      <c r="O129" s="17" t="str">
        <f aca="false">IFERROR(INDEX(Ref!$G:$G,MATCH($F129,Ref!$F:$F,0)),"")</f>
        <v/>
      </c>
    </row>
    <row r="130" customFormat="false" ht="15" hidden="false" customHeight="false" outlineLevel="0" collapsed="false">
      <c r="A130" s="12"/>
      <c r="B130" s="13"/>
      <c r="C130" s="12"/>
      <c r="D130" s="12"/>
      <c r="E130" s="12"/>
      <c r="F130" s="12"/>
      <c r="G130" s="14"/>
      <c r="H130" s="14"/>
      <c r="I130" s="12"/>
      <c r="J130" s="15"/>
      <c r="K130" s="13"/>
      <c r="L130" s="13"/>
      <c r="M130" s="16" t="str">
        <f aca="false">IFERROR(INDEX(Hooks!$B:$B,MATCH($C130,Hooks!$A:$A,0)),"")</f>
        <v/>
      </c>
      <c r="N130" s="17" t="str">
        <f aca="false">IF($A130="","",$A130&amp;"_"&amp;TEXT($B130,"00")&amp;"_"&amp;$D130&amp;"_9x16")</f>
        <v/>
      </c>
      <c r="O130" s="17" t="str">
        <f aca="false">IFERROR(INDEX(Ref!$G:$G,MATCH($F130,Ref!$F:$F,0)),"")</f>
        <v/>
      </c>
    </row>
    <row r="131" customFormat="false" ht="15" hidden="false" customHeight="false" outlineLevel="0" collapsed="false">
      <c r="A131" s="12"/>
      <c r="B131" s="13"/>
      <c r="C131" s="12"/>
      <c r="D131" s="12"/>
      <c r="E131" s="12"/>
      <c r="F131" s="12"/>
      <c r="G131" s="14"/>
      <c r="H131" s="14"/>
      <c r="I131" s="12"/>
      <c r="J131" s="15"/>
      <c r="K131" s="13"/>
      <c r="L131" s="13"/>
      <c r="M131" s="16" t="str">
        <f aca="false">IFERROR(INDEX(Hooks!$B:$B,MATCH($C131,Hooks!$A:$A,0)),"")</f>
        <v/>
      </c>
      <c r="N131" s="17" t="str">
        <f aca="false">IF($A131="","",$A131&amp;"_"&amp;TEXT($B131,"00")&amp;"_"&amp;$D131&amp;"_9x16")</f>
        <v/>
      </c>
      <c r="O131" s="17" t="str">
        <f aca="false">IFERROR(INDEX(Ref!$G:$G,MATCH($F131,Ref!$F:$F,0)),"")</f>
        <v/>
      </c>
    </row>
    <row r="132" customFormat="false" ht="15" hidden="false" customHeight="false" outlineLevel="0" collapsed="false">
      <c r="A132" s="12"/>
      <c r="B132" s="13"/>
      <c r="C132" s="12"/>
      <c r="D132" s="12"/>
      <c r="E132" s="12"/>
      <c r="F132" s="12"/>
      <c r="G132" s="14"/>
      <c r="H132" s="14"/>
      <c r="I132" s="12"/>
      <c r="J132" s="15"/>
      <c r="K132" s="13"/>
      <c r="L132" s="13"/>
      <c r="M132" s="16" t="str">
        <f aca="false">IFERROR(INDEX(Hooks!$B:$B,MATCH($C132,Hooks!$A:$A,0)),"")</f>
        <v/>
      </c>
      <c r="N132" s="17" t="str">
        <f aca="false">IF($A132="","",$A132&amp;"_"&amp;TEXT($B132,"00")&amp;"_"&amp;$D132&amp;"_9x16")</f>
        <v/>
      </c>
      <c r="O132" s="17" t="str">
        <f aca="false">IFERROR(INDEX(Ref!$G:$G,MATCH($F132,Ref!$F:$F,0)),"")</f>
        <v/>
      </c>
    </row>
    <row r="133" customFormat="false" ht="15" hidden="false" customHeight="false" outlineLevel="0" collapsed="false">
      <c r="A133" s="12"/>
      <c r="B133" s="13"/>
      <c r="C133" s="12"/>
      <c r="D133" s="12"/>
      <c r="E133" s="12"/>
      <c r="F133" s="12"/>
      <c r="G133" s="14"/>
      <c r="H133" s="14"/>
      <c r="I133" s="12"/>
      <c r="J133" s="15"/>
      <c r="K133" s="13"/>
      <c r="L133" s="13"/>
      <c r="M133" s="16" t="str">
        <f aca="false">IFERROR(INDEX(Hooks!$B:$B,MATCH($C133,Hooks!$A:$A,0)),"")</f>
        <v/>
      </c>
      <c r="N133" s="17" t="str">
        <f aca="false">IF($A133="","",$A133&amp;"_"&amp;TEXT($B133,"00")&amp;"_"&amp;$D133&amp;"_9x16")</f>
        <v/>
      </c>
      <c r="O133" s="17" t="str">
        <f aca="false">IFERROR(INDEX(Ref!$G:$G,MATCH($F133,Ref!$F:$F,0)),"")</f>
        <v/>
      </c>
    </row>
    <row r="134" customFormat="false" ht="15" hidden="false" customHeight="false" outlineLevel="0" collapsed="false">
      <c r="A134" s="12"/>
      <c r="B134" s="13"/>
      <c r="C134" s="12"/>
      <c r="D134" s="12"/>
      <c r="E134" s="12"/>
      <c r="F134" s="12"/>
      <c r="G134" s="14"/>
      <c r="H134" s="14"/>
      <c r="I134" s="12"/>
      <c r="J134" s="15"/>
      <c r="K134" s="13"/>
      <c r="L134" s="13"/>
      <c r="M134" s="16" t="str">
        <f aca="false">IFERROR(INDEX(Hooks!$B:$B,MATCH($C134,Hooks!$A:$A,0)),"")</f>
        <v/>
      </c>
      <c r="N134" s="17" t="str">
        <f aca="false">IF($A134="","",$A134&amp;"_"&amp;TEXT($B134,"00")&amp;"_"&amp;$D134&amp;"_9x16")</f>
        <v/>
      </c>
      <c r="O134" s="17" t="str">
        <f aca="false">IFERROR(INDEX(Ref!$G:$G,MATCH($F134,Ref!$F:$F,0)),"")</f>
        <v/>
      </c>
    </row>
    <row r="135" customFormat="false" ht="15" hidden="false" customHeight="false" outlineLevel="0" collapsed="false">
      <c r="A135" s="12"/>
      <c r="B135" s="13"/>
      <c r="C135" s="12"/>
      <c r="D135" s="12"/>
      <c r="E135" s="12"/>
      <c r="F135" s="12"/>
      <c r="G135" s="14"/>
      <c r="H135" s="14"/>
      <c r="I135" s="12"/>
      <c r="J135" s="15"/>
      <c r="K135" s="13"/>
      <c r="L135" s="13"/>
      <c r="M135" s="16" t="str">
        <f aca="false">IFERROR(INDEX(Hooks!$B:$B,MATCH($C135,Hooks!$A:$A,0)),"")</f>
        <v/>
      </c>
      <c r="N135" s="17" t="str">
        <f aca="false">IF($A135="","",$A135&amp;"_"&amp;TEXT($B135,"00")&amp;"_"&amp;$D135&amp;"_9x16")</f>
        <v/>
      </c>
      <c r="O135" s="17" t="str">
        <f aca="false">IFERROR(INDEX(Ref!$G:$G,MATCH($F135,Ref!$F:$F,0)),"")</f>
        <v/>
      </c>
    </row>
    <row r="136" customFormat="false" ht="15" hidden="false" customHeight="false" outlineLevel="0" collapsed="false">
      <c r="A136" s="12"/>
      <c r="B136" s="13"/>
      <c r="C136" s="12"/>
      <c r="D136" s="12"/>
      <c r="E136" s="12"/>
      <c r="F136" s="12"/>
      <c r="G136" s="14"/>
      <c r="H136" s="14"/>
      <c r="I136" s="12"/>
      <c r="J136" s="15"/>
      <c r="K136" s="13"/>
      <c r="L136" s="13"/>
      <c r="M136" s="16" t="str">
        <f aca="false">IFERROR(INDEX(Hooks!$B:$B,MATCH($C136,Hooks!$A:$A,0)),"")</f>
        <v/>
      </c>
      <c r="N136" s="17" t="str">
        <f aca="false">IF($A136="","",$A136&amp;"_"&amp;TEXT($B136,"00")&amp;"_"&amp;$D136&amp;"_9x16")</f>
        <v/>
      </c>
      <c r="O136" s="17" t="str">
        <f aca="false">IFERROR(INDEX(Ref!$G:$G,MATCH($F136,Ref!$F:$F,0)),"")</f>
        <v/>
      </c>
    </row>
    <row r="137" customFormat="false" ht="15" hidden="false" customHeight="false" outlineLevel="0" collapsed="false">
      <c r="A137" s="12"/>
      <c r="B137" s="13"/>
      <c r="C137" s="12"/>
      <c r="D137" s="12"/>
      <c r="E137" s="12"/>
      <c r="F137" s="12"/>
      <c r="G137" s="14"/>
      <c r="H137" s="14"/>
      <c r="I137" s="12"/>
      <c r="J137" s="15"/>
      <c r="K137" s="13"/>
      <c r="L137" s="13"/>
      <c r="M137" s="16" t="str">
        <f aca="false">IFERROR(INDEX(Hooks!$B:$B,MATCH($C137,Hooks!$A:$A,0)),"")</f>
        <v/>
      </c>
      <c r="N137" s="17" t="str">
        <f aca="false">IF($A137="","",$A137&amp;"_"&amp;TEXT($B137,"00")&amp;"_"&amp;$D137&amp;"_9x16")</f>
        <v/>
      </c>
      <c r="O137" s="17" t="str">
        <f aca="false">IFERROR(INDEX(Ref!$G:$G,MATCH($F137,Ref!$F:$F,0)),"")</f>
        <v/>
      </c>
    </row>
    <row r="138" customFormat="false" ht="15" hidden="false" customHeight="false" outlineLevel="0" collapsed="false">
      <c r="A138" s="12"/>
      <c r="B138" s="13"/>
      <c r="C138" s="12"/>
      <c r="D138" s="12"/>
      <c r="E138" s="12"/>
      <c r="F138" s="12"/>
      <c r="G138" s="14"/>
      <c r="H138" s="14"/>
      <c r="I138" s="12"/>
      <c r="J138" s="15"/>
      <c r="K138" s="13"/>
      <c r="L138" s="13"/>
      <c r="M138" s="16" t="str">
        <f aca="false">IFERROR(INDEX(Hooks!$B:$B,MATCH($C138,Hooks!$A:$A,0)),"")</f>
        <v/>
      </c>
      <c r="N138" s="17" t="str">
        <f aca="false">IF($A138="","",$A138&amp;"_"&amp;TEXT($B138,"00")&amp;"_"&amp;$D138&amp;"_9x16")</f>
        <v/>
      </c>
      <c r="O138" s="17" t="str">
        <f aca="false">IFERROR(INDEX(Ref!$G:$G,MATCH($F138,Ref!$F:$F,0)),"")</f>
        <v/>
      </c>
    </row>
    <row r="139" customFormat="false" ht="15" hidden="false" customHeight="false" outlineLevel="0" collapsed="false">
      <c r="A139" s="12"/>
      <c r="B139" s="13"/>
      <c r="C139" s="12"/>
      <c r="D139" s="12"/>
      <c r="E139" s="12"/>
      <c r="F139" s="12"/>
      <c r="G139" s="14"/>
      <c r="H139" s="14"/>
      <c r="I139" s="12"/>
      <c r="J139" s="15"/>
      <c r="K139" s="13"/>
      <c r="L139" s="13"/>
      <c r="M139" s="16" t="str">
        <f aca="false">IFERROR(INDEX(Hooks!$B:$B,MATCH($C139,Hooks!$A:$A,0)),"")</f>
        <v/>
      </c>
      <c r="N139" s="17" t="str">
        <f aca="false">IF($A139="","",$A139&amp;"_"&amp;TEXT($B139,"00")&amp;"_"&amp;$D139&amp;"_9x16")</f>
        <v/>
      </c>
      <c r="O139" s="17" t="str">
        <f aca="false">IFERROR(INDEX(Ref!$G:$G,MATCH($F139,Ref!$F:$F,0)),"")</f>
        <v/>
      </c>
    </row>
    <row r="140" customFormat="false" ht="15" hidden="false" customHeight="false" outlineLevel="0" collapsed="false">
      <c r="A140" s="12"/>
      <c r="B140" s="13"/>
      <c r="C140" s="12"/>
      <c r="D140" s="12"/>
      <c r="E140" s="12"/>
      <c r="F140" s="12"/>
      <c r="G140" s="14"/>
      <c r="H140" s="14"/>
      <c r="I140" s="12"/>
      <c r="J140" s="15"/>
      <c r="K140" s="13"/>
      <c r="L140" s="13"/>
      <c r="M140" s="16" t="str">
        <f aca="false">IFERROR(INDEX(Hooks!$B:$B,MATCH($C140,Hooks!$A:$A,0)),"")</f>
        <v/>
      </c>
      <c r="N140" s="17" t="str">
        <f aca="false">IF($A140="","",$A140&amp;"_"&amp;TEXT($B140,"00")&amp;"_"&amp;$D140&amp;"_9x16")</f>
        <v/>
      </c>
      <c r="O140" s="17" t="str">
        <f aca="false">IFERROR(INDEX(Ref!$G:$G,MATCH($F140,Ref!$F:$F,0)),"")</f>
        <v/>
      </c>
    </row>
    <row r="141" customFormat="false" ht="15" hidden="false" customHeight="false" outlineLevel="0" collapsed="false">
      <c r="A141" s="12"/>
      <c r="B141" s="13"/>
      <c r="C141" s="12"/>
      <c r="D141" s="12"/>
      <c r="E141" s="12"/>
      <c r="F141" s="12"/>
      <c r="G141" s="14"/>
      <c r="H141" s="14"/>
      <c r="I141" s="12"/>
      <c r="J141" s="15"/>
      <c r="K141" s="13"/>
      <c r="L141" s="13"/>
      <c r="M141" s="16" t="str">
        <f aca="false">IFERROR(INDEX(Hooks!$B:$B,MATCH($C141,Hooks!$A:$A,0)),"")</f>
        <v/>
      </c>
      <c r="N141" s="17" t="str">
        <f aca="false">IF($A141="","",$A141&amp;"_"&amp;TEXT($B141,"00")&amp;"_"&amp;$D141&amp;"_9x16")</f>
        <v/>
      </c>
      <c r="O141" s="17" t="str">
        <f aca="false">IFERROR(INDEX(Ref!$G:$G,MATCH($F141,Ref!$F:$F,0)),"")</f>
        <v/>
      </c>
    </row>
    <row r="142" customFormat="false" ht="15" hidden="false" customHeight="false" outlineLevel="0" collapsed="false">
      <c r="A142" s="12"/>
      <c r="B142" s="13"/>
      <c r="C142" s="12"/>
      <c r="D142" s="12"/>
      <c r="E142" s="12"/>
      <c r="F142" s="12"/>
      <c r="G142" s="14"/>
      <c r="H142" s="14"/>
      <c r="I142" s="12"/>
      <c r="J142" s="15"/>
      <c r="K142" s="13"/>
      <c r="L142" s="13"/>
      <c r="M142" s="16" t="str">
        <f aca="false">IFERROR(INDEX(Hooks!$B:$B,MATCH($C142,Hooks!$A:$A,0)),"")</f>
        <v/>
      </c>
      <c r="N142" s="17" t="str">
        <f aca="false">IF($A142="","",$A142&amp;"_"&amp;TEXT($B142,"00")&amp;"_"&amp;$D142&amp;"_9x16")</f>
        <v/>
      </c>
      <c r="O142" s="17" t="str">
        <f aca="false">IFERROR(INDEX(Ref!$G:$G,MATCH($F142,Ref!$F:$F,0)),"")</f>
        <v/>
      </c>
    </row>
    <row r="143" customFormat="false" ht="15" hidden="false" customHeight="false" outlineLevel="0" collapsed="false">
      <c r="A143" s="12"/>
      <c r="B143" s="13"/>
      <c r="C143" s="12"/>
      <c r="D143" s="12"/>
      <c r="E143" s="12"/>
      <c r="F143" s="12"/>
      <c r="G143" s="14"/>
      <c r="H143" s="14"/>
      <c r="I143" s="12"/>
      <c r="J143" s="15"/>
      <c r="K143" s="13"/>
      <c r="L143" s="13"/>
      <c r="M143" s="16" t="str">
        <f aca="false">IFERROR(INDEX(Hooks!$B:$B,MATCH($C143,Hooks!$A:$A,0)),"")</f>
        <v/>
      </c>
      <c r="N143" s="17" t="str">
        <f aca="false">IF($A143="","",$A143&amp;"_"&amp;TEXT($B143,"00")&amp;"_"&amp;$D143&amp;"_9x16")</f>
        <v/>
      </c>
      <c r="O143" s="17" t="str">
        <f aca="false">IFERROR(INDEX(Ref!$G:$G,MATCH($F143,Ref!$F:$F,0)),"")</f>
        <v/>
      </c>
    </row>
    <row r="144" customFormat="false" ht="15" hidden="false" customHeight="false" outlineLevel="0" collapsed="false">
      <c r="A144" s="12"/>
      <c r="B144" s="13"/>
      <c r="C144" s="12"/>
      <c r="D144" s="12"/>
      <c r="E144" s="12"/>
      <c r="F144" s="12"/>
      <c r="G144" s="14"/>
      <c r="H144" s="14"/>
      <c r="I144" s="12"/>
      <c r="J144" s="15"/>
      <c r="K144" s="13"/>
      <c r="L144" s="13"/>
      <c r="M144" s="16" t="str">
        <f aca="false">IFERROR(INDEX(Hooks!$B:$B,MATCH($C144,Hooks!$A:$A,0)),"")</f>
        <v/>
      </c>
      <c r="N144" s="17" t="str">
        <f aca="false">IF($A144="","",$A144&amp;"_"&amp;TEXT($B144,"00")&amp;"_"&amp;$D144&amp;"_9x16")</f>
        <v/>
      </c>
      <c r="O144" s="17" t="str">
        <f aca="false">IFERROR(INDEX(Ref!$G:$G,MATCH($F144,Ref!$F:$F,0)),"")</f>
        <v/>
      </c>
    </row>
    <row r="145" customFormat="false" ht="15" hidden="false" customHeight="false" outlineLevel="0" collapsed="false">
      <c r="A145" s="12"/>
      <c r="B145" s="13"/>
      <c r="C145" s="12"/>
      <c r="D145" s="12"/>
      <c r="E145" s="12"/>
      <c r="F145" s="12"/>
      <c r="G145" s="14"/>
      <c r="H145" s="14"/>
      <c r="I145" s="12"/>
      <c r="J145" s="15"/>
      <c r="K145" s="13"/>
      <c r="L145" s="13"/>
      <c r="M145" s="16" t="str">
        <f aca="false">IFERROR(INDEX(Hooks!$B:$B,MATCH($C145,Hooks!$A:$A,0)),"")</f>
        <v/>
      </c>
      <c r="N145" s="17" t="str">
        <f aca="false">IF($A145="","",$A145&amp;"_"&amp;TEXT($B145,"00")&amp;"_"&amp;$D145&amp;"_9x16")</f>
        <v/>
      </c>
      <c r="O145" s="17" t="str">
        <f aca="false">IFERROR(INDEX(Ref!$G:$G,MATCH($F145,Ref!$F:$F,0)),"")</f>
        <v/>
      </c>
    </row>
    <row r="146" customFormat="false" ht="15" hidden="false" customHeight="false" outlineLevel="0" collapsed="false">
      <c r="A146" s="12"/>
      <c r="B146" s="13"/>
      <c r="C146" s="12"/>
      <c r="D146" s="12"/>
      <c r="E146" s="12"/>
      <c r="F146" s="12"/>
      <c r="G146" s="14"/>
      <c r="H146" s="14"/>
      <c r="I146" s="12"/>
      <c r="J146" s="15"/>
      <c r="K146" s="13"/>
      <c r="L146" s="13"/>
      <c r="M146" s="16" t="str">
        <f aca="false">IFERROR(INDEX(Hooks!$B:$B,MATCH($C146,Hooks!$A:$A,0)),"")</f>
        <v/>
      </c>
      <c r="N146" s="17" t="str">
        <f aca="false">IF($A146="","",$A146&amp;"_"&amp;TEXT($B146,"00")&amp;"_"&amp;$D146&amp;"_9x16")</f>
        <v/>
      </c>
      <c r="O146" s="17" t="str">
        <f aca="false">IFERROR(INDEX(Ref!$G:$G,MATCH($F146,Ref!$F:$F,0)),"")</f>
        <v/>
      </c>
    </row>
    <row r="147" customFormat="false" ht="15" hidden="false" customHeight="false" outlineLevel="0" collapsed="false">
      <c r="A147" s="12"/>
      <c r="B147" s="13"/>
      <c r="C147" s="12"/>
      <c r="D147" s="12"/>
      <c r="E147" s="12"/>
      <c r="F147" s="12"/>
      <c r="G147" s="14"/>
      <c r="H147" s="14"/>
      <c r="I147" s="12"/>
      <c r="J147" s="15"/>
      <c r="K147" s="13"/>
      <c r="L147" s="13"/>
      <c r="M147" s="16" t="str">
        <f aca="false">IFERROR(INDEX(Hooks!$B:$B,MATCH($C147,Hooks!$A:$A,0)),"")</f>
        <v/>
      </c>
      <c r="N147" s="17" t="str">
        <f aca="false">IF($A147="","",$A147&amp;"_"&amp;TEXT($B147,"00")&amp;"_"&amp;$D147&amp;"_9x16")</f>
        <v/>
      </c>
      <c r="O147" s="17" t="str">
        <f aca="false">IFERROR(INDEX(Ref!$G:$G,MATCH($F147,Ref!$F:$F,0)),"")</f>
        <v/>
      </c>
    </row>
    <row r="148" customFormat="false" ht="15" hidden="false" customHeight="false" outlineLevel="0" collapsed="false">
      <c r="A148" s="12"/>
      <c r="B148" s="13"/>
      <c r="C148" s="12"/>
      <c r="D148" s="12"/>
      <c r="E148" s="12"/>
      <c r="F148" s="12"/>
      <c r="G148" s="14"/>
      <c r="H148" s="14"/>
      <c r="I148" s="12"/>
      <c r="J148" s="15"/>
      <c r="K148" s="13"/>
      <c r="L148" s="13"/>
      <c r="M148" s="16" t="str">
        <f aca="false">IFERROR(INDEX(Hooks!$B:$B,MATCH($C148,Hooks!$A:$A,0)),"")</f>
        <v/>
      </c>
      <c r="N148" s="17" t="str">
        <f aca="false">IF($A148="","",$A148&amp;"_"&amp;TEXT($B148,"00")&amp;"_"&amp;$D148&amp;"_9x16")</f>
        <v/>
      </c>
      <c r="O148" s="17" t="str">
        <f aca="false">IFERROR(INDEX(Ref!$G:$G,MATCH($F148,Ref!$F:$F,0)),"")</f>
        <v/>
      </c>
    </row>
    <row r="149" customFormat="false" ht="15" hidden="false" customHeight="false" outlineLevel="0" collapsed="false">
      <c r="A149" s="12"/>
      <c r="B149" s="13"/>
      <c r="C149" s="12"/>
      <c r="D149" s="12"/>
      <c r="E149" s="12"/>
      <c r="F149" s="12"/>
      <c r="G149" s="14"/>
      <c r="H149" s="14"/>
      <c r="I149" s="12"/>
      <c r="J149" s="15"/>
      <c r="K149" s="13"/>
      <c r="L149" s="13"/>
      <c r="M149" s="16" t="str">
        <f aca="false">IFERROR(INDEX(Hooks!$B:$B,MATCH($C149,Hooks!$A:$A,0)),"")</f>
        <v/>
      </c>
      <c r="N149" s="17" t="str">
        <f aca="false">IF($A149="","",$A149&amp;"_"&amp;TEXT($B149,"00")&amp;"_"&amp;$D149&amp;"_9x16")</f>
        <v/>
      </c>
      <c r="O149" s="17" t="str">
        <f aca="false">IFERROR(INDEX(Ref!$G:$G,MATCH($F149,Ref!$F:$F,0)),"")</f>
        <v/>
      </c>
    </row>
    <row r="150" customFormat="false" ht="15" hidden="false" customHeight="false" outlineLevel="0" collapsed="false">
      <c r="A150" s="12"/>
      <c r="B150" s="13"/>
      <c r="C150" s="12"/>
      <c r="D150" s="12"/>
      <c r="E150" s="12"/>
      <c r="F150" s="12"/>
      <c r="G150" s="14"/>
      <c r="H150" s="14"/>
      <c r="I150" s="12"/>
      <c r="J150" s="15"/>
      <c r="K150" s="13"/>
      <c r="L150" s="13"/>
      <c r="M150" s="16" t="str">
        <f aca="false">IFERROR(INDEX(Hooks!$B:$B,MATCH($C150,Hooks!$A:$A,0)),"")</f>
        <v/>
      </c>
      <c r="N150" s="17" t="str">
        <f aca="false">IF($A150="","",$A150&amp;"_"&amp;TEXT($B150,"00")&amp;"_"&amp;$D150&amp;"_9x16")</f>
        <v/>
      </c>
      <c r="O150" s="17" t="str">
        <f aca="false">IFERROR(INDEX(Ref!$G:$G,MATCH($F150,Ref!$F:$F,0)),"")</f>
        <v/>
      </c>
    </row>
    <row r="151" customFormat="false" ht="15" hidden="false" customHeight="false" outlineLevel="0" collapsed="false">
      <c r="A151" s="12"/>
      <c r="B151" s="13"/>
      <c r="C151" s="12"/>
      <c r="D151" s="12"/>
      <c r="E151" s="12"/>
      <c r="F151" s="12"/>
      <c r="G151" s="14"/>
      <c r="H151" s="14"/>
      <c r="I151" s="12"/>
      <c r="J151" s="15"/>
      <c r="K151" s="13"/>
      <c r="L151" s="13"/>
      <c r="M151" s="16" t="str">
        <f aca="false">IFERROR(INDEX(Hooks!$B:$B,MATCH($C151,Hooks!$A:$A,0)),"")</f>
        <v/>
      </c>
      <c r="N151" s="17" t="str">
        <f aca="false">IF($A151="","",$A151&amp;"_"&amp;TEXT($B151,"00")&amp;"_"&amp;$D151&amp;"_9x16")</f>
        <v/>
      </c>
      <c r="O151" s="17" t="str">
        <f aca="false">IFERROR(INDEX(Ref!$G:$G,MATCH($F151,Ref!$F:$F,0)),"")</f>
        <v/>
      </c>
    </row>
    <row r="152" customFormat="false" ht="15" hidden="false" customHeight="false" outlineLevel="0" collapsed="false">
      <c r="A152" s="12"/>
      <c r="B152" s="13"/>
      <c r="C152" s="12"/>
      <c r="D152" s="12"/>
      <c r="E152" s="12"/>
      <c r="F152" s="12"/>
      <c r="G152" s="14"/>
      <c r="H152" s="14"/>
      <c r="I152" s="12"/>
      <c r="J152" s="15"/>
      <c r="K152" s="13"/>
      <c r="L152" s="13"/>
      <c r="M152" s="16" t="str">
        <f aca="false">IFERROR(INDEX(Hooks!$B:$B,MATCH($C152,Hooks!$A:$A,0)),"")</f>
        <v/>
      </c>
      <c r="N152" s="17" t="str">
        <f aca="false">IF($A152="","",$A152&amp;"_"&amp;TEXT($B152,"00")&amp;"_"&amp;$D152&amp;"_9x16")</f>
        <v/>
      </c>
      <c r="O152" s="17" t="str">
        <f aca="false">IFERROR(INDEX(Ref!$G:$G,MATCH($F152,Ref!$F:$F,0)),"")</f>
        <v/>
      </c>
    </row>
    <row r="153" customFormat="false" ht="15" hidden="false" customHeight="false" outlineLevel="0" collapsed="false">
      <c r="A153" s="12"/>
      <c r="B153" s="13"/>
      <c r="C153" s="12"/>
      <c r="D153" s="12"/>
      <c r="E153" s="12"/>
      <c r="F153" s="12"/>
      <c r="G153" s="14"/>
      <c r="H153" s="14"/>
      <c r="I153" s="12"/>
      <c r="J153" s="15"/>
      <c r="K153" s="13"/>
      <c r="L153" s="13"/>
      <c r="M153" s="16" t="str">
        <f aca="false">IFERROR(INDEX(Hooks!$B:$B,MATCH($C153,Hooks!$A:$A,0)),"")</f>
        <v/>
      </c>
      <c r="N153" s="17" t="str">
        <f aca="false">IF($A153="","",$A153&amp;"_"&amp;TEXT($B153,"00")&amp;"_"&amp;$D153&amp;"_9x16")</f>
        <v/>
      </c>
      <c r="O153" s="17" t="str">
        <f aca="false">IFERROR(INDEX(Ref!$G:$G,MATCH($F153,Ref!$F:$F,0)),"")</f>
        <v/>
      </c>
    </row>
    <row r="154" customFormat="false" ht="15" hidden="false" customHeight="false" outlineLevel="0" collapsed="false">
      <c r="A154" s="12"/>
      <c r="B154" s="13"/>
      <c r="C154" s="12"/>
      <c r="D154" s="12"/>
      <c r="E154" s="12"/>
      <c r="F154" s="12"/>
      <c r="G154" s="14"/>
      <c r="H154" s="14"/>
      <c r="I154" s="12"/>
      <c r="J154" s="15"/>
      <c r="K154" s="13"/>
      <c r="L154" s="13"/>
      <c r="M154" s="16" t="str">
        <f aca="false">IFERROR(INDEX(Hooks!$B:$B,MATCH($C154,Hooks!$A:$A,0)),"")</f>
        <v/>
      </c>
      <c r="N154" s="17" t="str">
        <f aca="false">IF($A154="","",$A154&amp;"_"&amp;TEXT($B154,"00")&amp;"_"&amp;$D154&amp;"_9x16")</f>
        <v/>
      </c>
      <c r="O154" s="17" t="str">
        <f aca="false">IFERROR(INDEX(Ref!$G:$G,MATCH($F154,Ref!$F:$F,0)),"")</f>
        <v/>
      </c>
    </row>
    <row r="155" customFormat="false" ht="15" hidden="false" customHeight="false" outlineLevel="0" collapsed="false">
      <c r="A155" s="12"/>
      <c r="B155" s="13"/>
      <c r="C155" s="12"/>
      <c r="D155" s="12"/>
      <c r="E155" s="12"/>
      <c r="F155" s="12"/>
      <c r="G155" s="14"/>
      <c r="H155" s="14"/>
      <c r="I155" s="12"/>
      <c r="J155" s="15"/>
      <c r="K155" s="13"/>
      <c r="L155" s="13"/>
      <c r="M155" s="16" t="str">
        <f aca="false">IFERROR(INDEX(Hooks!$B:$B,MATCH($C155,Hooks!$A:$A,0)),"")</f>
        <v/>
      </c>
      <c r="N155" s="17" t="str">
        <f aca="false">IF($A155="","",$A155&amp;"_"&amp;TEXT($B155,"00")&amp;"_"&amp;$D155&amp;"_9x16")</f>
        <v/>
      </c>
      <c r="O155" s="17" t="str">
        <f aca="false">IFERROR(INDEX(Ref!$G:$G,MATCH($F155,Ref!$F:$F,0)),"")</f>
        <v/>
      </c>
    </row>
    <row r="156" customFormat="false" ht="15" hidden="false" customHeight="false" outlineLevel="0" collapsed="false">
      <c r="A156" s="12"/>
      <c r="B156" s="13"/>
      <c r="C156" s="12"/>
      <c r="D156" s="12"/>
      <c r="E156" s="12"/>
      <c r="F156" s="12"/>
      <c r="G156" s="14"/>
      <c r="H156" s="14"/>
      <c r="I156" s="12"/>
      <c r="J156" s="15"/>
      <c r="K156" s="13"/>
      <c r="L156" s="13"/>
      <c r="M156" s="16" t="str">
        <f aca="false">IFERROR(INDEX(Hooks!$B:$B,MATCH($C156,Hooks!$A:$A,0)),"")</f>
        <v/>
      </c>
      <c r="N156" s="17" t="str">
        <f aca="false">IF($A156="","",$A156&amp;"_"&amp;TEXT($B156,"00")&amp;"_"&amp;$D156&amp;"_9x16")</f>
        <v/>
      </c>
      <c r="O156" s="17" t="str">
        <f aca="false">IFERROR(INDEX(Ref!$G:$G,MATCH($F156,Ref!$F:$F,0)),"")</f>
        <v/>
      </c>
    </row>
    <row r="157" customFormat="false" ht="15" hidden="false" customHeight="false" outlineLevel="0" collapsed="false">
      <c r="A157" s="12"/>
      <c r="B157" s="13"/>
      <c r="C157" s="12"/>
      <c r="D157" s="12"/>
      <c r="E157" s="12"/>
      <c r="F157" s="12"/>
      <c r="G157" s="14"/>
      <c r="H157" s="14"/>
      <c r="I157" s="12"/>
      <c r="J157" s="15"/>
      <c r="K157" s="13"/>
      <c r="L157" s="13"/>
      <c r="M157" s="16" t="str">
        <f aca="false">IFERROR(INDEX(Hooks!$B:$B,MATCH($C157,Hooks!$A:$A,0)),"")</f>
        <v/>
      </c>
      <c r="N157" s="17" t="str">
        <f aca="false">IF($A157="","",$A157&amp;"_"&amp;TEXT($B157,"00")&amp;"_"&amp;$D157&amp;"_9x16")</f>
        <v/>
      </c>
      <c r="O157" s="17" t="str">
        <f aca="false">IFERROR(INDEX(Ref!$G:$G,MATCH($F157,Ref!$F:$F,0)),"")</f>
        <v/>
      </c>
    </row>
    <row r="158" customFormat="false" ht="15" hidden="false" customHeight="false" outlineLevel="0" collapsed="false">
      <c r="A158" s="12"/>
      <c r="B158" s="13"/>
      <c r="C158" s="12"/>
      <c r="D158" s="12"/>
      <c r="E158" s="12"/>
      <c r="F158" s="12"/>
      <c r="G158" s="14"/>
      <c r="H158" s="14"/>
      <c r="I158" s="12"/>
      <c r="J158" s="15"/>
      <c r="K158" s="13"/>
      <c r="L158" s="13"/>
      <c r="M158" s="16" t="str">
        <f aca="false">IFERROR(INDEX(Hooks!$B:$B,MATCH($C158,Hooks!$A:$A,0)),"")</f>
        <v/>
      </c>
      <c r="N158" s="17" t="str">
        <f aca="false">IF($A158="","",$A158&amp;"_"&amp;TEXT($B158,"00")&amp;"_"&amp;$D158&amp;"_9x16")</f>
        <v/>
      </c>
      <c r="O158" s="17" t="str">
        <f aca="false">IFERROR(INDEX(Ref!$G:$G,MATCH($F158,Ref!$F:$F,0)),"")</f>
        <v/>
      </c>
    </row>
    <row r="159" customFormat="false" ht="15" hidden="false" customHeight="false" outlineLevel="0" collapsed="false">
      <c r="A159" s="12"/>
      <c r="B159" s="13"/>
      <c r="C159" s="12"/>
      <c r="D159" s="12"/>
      <c r="E159" s="12"/>
      <c r="F159" s="12"/>
      <c r="G159" s="14"/>
      <c r="H159" s="14"/>
      <c r="I159" s="12"/>
      <c r="J159" s="15"/>
      <c r="K159" s="13"/>
      <c r="L159" s="13"/>
      <c r="M159" s="16" t="str">
        <f aca="false">IFERROR(INDEX(Hooks!$B:$B,MATCH($C159,Hooks!$A:$A,0)),"")</f>
        <v/>
      </c>
      <c r="N159" s="17" t="str">
        <f aca="false">IF($A159="","",$A159&amp;"_"&amp;TEXT($B159,"00")&amp;"_"&amp;$D159&amp;"_9x16")</f>
        <v/>
      </c>
      <c r="O159" s="17" t="str">
        <f aca="false">IFERROR(INDEX(Ref!$G:$G,MATCH($F159,Ref!$F:$F,0)),"")</f>
        <v/>
      </c>
    </row>
    <row r="160" customFormat="false" ht="15" hidden="false" customHeight="false" outlineLevel="0" collapsed="false">
      <c r="A160" s="12"/>
      <c r="B160" s="13"/>
      <c r="C160" s="12"/>
      <c r="D160" s="12"/>
      <c r="E160" s="12"/>
      <c r="F160" s="12"/>
      <c r="G160" s="14"/>
      <c r="H160" s="14"/>
      <c r="I160" s="12"/>
      <c r="J160" s="15"/>
      <c r="K160" s="13"/>
      <c r="L160" s="13"/>
      <c r="M160" s="16" t="str">
        <f aca="false">IFERROR(INDEX(Hooks!$B:$B,MATCH($C160,Hooks!$A:$A,0)),"")</f>
        <v/>
      </c>
      <c r="N160" s="17" t="str">
        <f aca="false">IF($A160="","",$A160&amp;"_"&amp;TEXT($B160,"00")&amp;"_"&amp;$D160&amp;"_9x16")</f>
        <v/>
      </c>
      <c r="O160" s="17" t="str">
        <f aca="false">IFERROR(INDEX(Ref!$G:$G,MATCH($F160,Ref!$F:$F,0)),"")</f>
        <v/>
      </c>
    </row>
    <row r="161" customFormat="false" ht="15" hidden="false" customHeight="false" outlineLevel="0" collapsed="false">
      <c r="A161" s="12"/>
      <c r="B161" s="13"/>
      <c r="C161" s="12"/>
      <c r="D161" s="12"/>
      <c r="E161" s="12"/>
      <c r="F161" s="12"/>
      <c r="G161" s="14"/>
      <c r="H161" s="14"/>
      <c r="I161" s="12"/>
      <c r="J161" s="15"/>
      <c r="K161" s="13"/>
      <c r="L161" s="13"/>
      <c r="M161" s="16" t="str">
        <f aca="false">IFERROR(INDEX(Hooks!$B:$B,MATCH($C161,Hooks!$A:$A,0)),"")</f>
        <v/>
      </c>
      <c r="N161" s="17" t="str">
        <f aca="false">IF($A161="","",$A161&amp;"_"&amp;TEXT($B161,"00")&amp;"_"&amp;$D161&amp;"_9x16")</f>
        <v/>
      </c>
      <c r="O161" s="17" t="str">
        <f aca="false">IFERROR(INDEX(Ref!$G:$G,MATCH($F161,Ref!$F:$F,0)),"")</f>
        <v/>
      </c>
    </row>
    <row r="162" customFormat="false" ht="15" hidden="false" customHeight="false" outlineLevel="0" collapsed="false">
      <c r="A162" s="12"/>
      <c r="B162" s="13"/>
      <c r="C162" s="12"/>
      <c r="D162" s="12"/>
      <c r="E162" s="12"/>
      <c r="F162" s="12"/>
      <c r="G162" s="14"/>
      <c r="H162" s="14"/>
      <c r="I162" s="12"/>
      <c r="J162" s="15"/>
      <c r="K162" s="13"/>
      <c r="L162" s="13"/>
      <c r="M162" s="16" t="str">
        <f aca="false">IFERROR(INDEX(Hooks!$B:$B,MATCH($C162,Hooks!$A:$A,0)),"")</f>
        <v/>
      </c>
      <c r="N162" s="17" t="str">
        <f aca="false">IF($A162="","",$A162&amp;"_"&amp;TEXT($B162,"00")&amp;"_"&amp;$D162&amp;"_9x16")</f>
        <v/>
      </c>
      <c r="O162" s="17" t="str">
        <f aca="false">IFERROR(INDEX(Ref!$G:$G,MATCH($F162,Ref!$F:$F,0)),"")</f>
        <v/>
      </c>
    </row>
    <row r="163" customFormat="false" ht="15" hidden="false" customHeight="false" outlineLevel="0" collapsed="false">
      <c r="A163" s="12"/>
      <c r="B163" s="13"/>
      <c r="C163" s="12"/>
      <c r="D163" s="12"/>
      <c r="E163" s="12"/>
      <c r="F163" s="12"/>
      <c r="G163" s="14"/>
      <c r="H163" s="14"/>
      <c r="I163" s="12"/>
      <c r="J163" s="15"/>
      <c r="K163" s="13"/>
      <c r="L163" s="13"/>
      <c r="M163" s="16" t="str">
        <f aca="false">IFERROR(INDEX(Hooks!$B:$B,MATCH($C163,Hooks!$A:$A,0)),"")</f>
        <v/>
      </c>
      <c r="N163" s="17" t="str">
        <f aca="false">IF($A163="","",$A163&amp;"_"&amp;TEXT($B163,"00")&amp;"_"&amp;$D163&amp;"_9x16")</f>
        <v/>
      </c>
      <c r="O163" s="17" t="str">
        <f aca="false">IFERROR(INDEX(Ref!$G:$G,MATCH($F163,Ref!$F:$F,0)),"")</f>
        <v/>
      </c>
    </row>
    <row r="164" customFormat="false" ht="15" hidden="false" customHeight="false" outlineLevel="0" collapsed="false">
      <c r="A164" s="12"/>
      <c r="B164" s="13"/>
      <c r="C164" s="12"/>
      <c r="D164" s="12"/>
      <c r="E164" s="12"/>
      <c r="F164" s="12"/>
      <c r="G164" s="14"/>
      <c r="H164" s="14"/>
      <c r="I164" s="12"/>
      <c r="J164" s="15"/>
      <c r="K164" s="13"/>
      <c r="L164" s="13"/>
      <c r="M164" s="16" t="str">
        <f aca="false">IFERROR(INDEX(Hooks!$B:$B,MATCH($C164,Hooks!$A:$A,0)),"")</f>
        <v/>
      </c>
      <c r="N164" s="17" t="str">
        <f aca="false">IF($A164="","",$A164&amp;"_"&amp;TEXT($B164,"00")&amp;"_"&amp;$D164&amp;"_9x16")</f>
        <v/>
      </c>
      <c r="O164" s="17" t="str">
        <f aca="false">IFERROR(INDEX(Ref!$G:$G,MATCH($F164,Ref!$F:$F,0)),"")</f>
        <v/>
      </c>
    </row>
    <row r="165" customFormat="false" ht="15" hidden="false" customHeight="false" outlineLevel="0" collapsed="false">
      <c r="A165" s="12"/>
      <c r="B165" s="13"/>
      <c r="C165" s="12"/>
      <c r="D165" s="12"/>
      <c r="E165" s="12"/>
      <c r="F165" s="12"/>
      <c r="G165" s="14"/>
      <c r="H165" s="14"/>
      <c r="I165" s="12"/>
      <c r="J165" s="15"/>
      <c r="K165" s="13"/>
      <c r="L165" s="13"/>
      <c r="M165" s="16" t="str">
        <f aca="false">IFERROR(INDEX(Hooks!$B:$B,MATCH($C165,Hooks!$A:$A,0)),"")</f>
        <v/>
      </c>
      <c r="N165" s="17" t="str">
        <f aca="false">IF($A165="","",$A165&amp;"_"&amp;TEXT($B165,"00")&amp;"_"&amp;$D165&amp;"_9x16")</f>
        <v/>
      </c>
      <c r="O165" s="17" t="str">
        <f aca="false">IFERROR(INDEX(Ref!$G:$G,MATCH($F165,Ref!$F:$F,0)),"")</f>
        <v/>
      </c>
    </row>
    <row r="166" customFormat="false" ht="15" hidden="false" customHeight="false" outlineLevel="0" collapsed="false">
      <c r="A166" s="12"/>
      <c r="B166" s="13"/>
      <c r="C166" s="12"/>
      <c r="D166" s="12"/>
      <c r="E166" s="12"/>
      <c r="F166" s="12"/>
      <c r="G166" s="14"/>
      <c r="H166" s="14"/>
      <c r="I166" s="12"/>
      <c r="J166" s="15"/>
      <c r="K166" s="13"/>
      <c r="L166" s="13"/>
      <c r="M166" s="16" t="str">
        <f aca="false">IFERROR(INDEX(Hooks!$B:$B,MATCH($C166,Hooks!$A:$A,0)),"")</f>
        <v/>
      </c>
      <c r="N166" s="17" t="str">
        <f aca="false">IF($A166="","",$A166&amp;"_"&amp;TEXT($B166,"00")&amp;"_"&amp;$D166&amp;"_9x16")</f>
        <v/>
      </c>
      <c r="O166" s="17" t="str">
        <f aca="false">IFERROR(INDEX(Ref!$G:$G,MATCH($F166,Ref!$F:$F,0)),"")</f>
        <v/>
      </c>
    </row>
    <row r="167" customFormat="false" ht="15" hidden="false" customHeight="false" outlineLevel="0" collapsed="false">
      <c r="A167" s="12"/>
      <c r="B167" s="13"/>
      <c r="C167" s="12"/>
      <c r="D167" s="12"/>
      <c r="E167" s="12"/>
      <c r="F167" s="12"/>
      <c r="G167" s="14"/>
      <c r="H167" s="14"/>
      <c r="I167" s="12"/>
      <c r="J167" s="15"/>
      <c r="K167" s="13"/>
      <c r="L167" s="13"/>
      <c r="M167" s="16" t="str">
        <f aca="false">IFERROR(INDEX(Hooks!$B:$B,MATCH($C167,Hooks!$A:$A,0)),"")</f>
        <v/>
      </c>
      <c r="N167" s="17" t="str">
        <f aca="false">IF($A167="","",$A167&amp;"_"&amp;TEXT($B167,"00")&amp;"_"&amp;$D167&amp;"_9x16")</f>
        <v/>
      </c>
      <c r="O167" s="17" t="str">
        <f aca="false">IFERROR(INDEX(Ref!$G:$G,MATCH($F167,Ref!$F:$F,0)),"")</f>
        <v/>
      </c>
    </row>
    <row r="168" customFormat="false" ht="15" hidden="false" customHeight="false" outlineLevel="0" collapsed="false">
      <c r="A168" s="12"/>
      <c r="B168" s="13"/>
      <c r="C168" s="12"/>
      <c r="D168" s="12"/>
      <c r="E168" s="12"/>
      <c r="F168" s="12"/>
      <c r="G168" s="14"/>
      <c r="H168" s="14"/>
      <c r="I168" s="12"/>
      <c r="J168" s="15"/>
      <c r="K168" s="13"/>
      <c r="L168" s="13"/>
      <c r="M168" s="16" t="str">
        <f aca="false">IFERROR(INDEX(Hooks!$B:$B,MATCH($C168,Hooks!$A:$A,0)),"")</f>
        <v/>
      </c>
      <c r="N168" s="17" t="str">
        <f aca="false">IF($A168="","",$A168&amp;"_"&amp;TEXT($B168,"00")&amp;"_"&amp;$D168&amp;"_9x16")</f>
        <v/>
      </c>
      <c r="O168" s="17" t="str">
        <f aca="false">IFERROR(INDEX(Ref!$G:$G,MATCH($F168,Ref!$F:$F,0)),"")</f>
        <v/>
      </c>
    </row>
    <row r="169" customFormat="false" ht="15" hidden="false" customHeight="false" outlineLevel="0" collapsed="false">
      <c r="A169" s="12"/>
      <c r="B169" s="13"/>
      <c r="C169" s="12"/>
      <c r="D169" s="12"/>
      <c r="E169" s="12"/>
      <c r="F169" s="12"/>
      <c r="G169" s="14"/>
      <c r="H169" s="14"/>
      <c r="I169" s="12"/>
      <c r="J169" s="15"/>
      <c r="K169" s="13"/>
      <c r="L169" s="13"/>
      <c r="M169" s="16" t="str">
        <f aca="false">IFERROR(INDEX(Hooks!$B:$B,MATCH($C169,Hooks!$A:$A,0)),"")</f>
        <v/>
      </c>
      <c r="N169" s="17" t="str">
        <f aca="false">IF($A169="","",$A169&amp;"_"&amp;TEXT($B169,"00")&amp;"_"&amp;$D169&amp;"_9x16")</f>
        <v/>
      </c>
      <c r="O169" s="17" t="str">
        <f aca="false">IFERROR(INDEX(Ref!$G:$G,MATCH($F169,Ref!$F:$F,0)),"")</f>
        <v/>
      </c>
    </row>
    <row r="170" customFormat="false" ht="15" hidden="false" customHeight="false" outlineLevel="0" collapsed="false">
      <c r="A170" s="12"/>
      <c r="B170" s="13"/>
      <c r="C170" s="12"/>
      <c r="D170" s="12"/>
      <c r="E170" s="12"/>
      <c r="F170" s="12"/>
      <c r="G170" s="14"/>
      <c r="H170" s="14"/>
      <c r="I170" s="12"/>
      <c r="J170" s="15"/>
      <c r="K170" s="13"/>
      <c r="L170" s="13"/>
      <c r="M170" s="16" t="str">
        <f aca="false">IFERROR(INDEX(Hooks!$B:$B,MATCH($C170,Hooks!$A:$A,0)),"")</f>
        <v/>
      </c>
      <c r="N170" s="17" t="str">
        <f aca="false">IF($A170="","",$A170&amp;"_"&amp;TEXT($B170,"00")&amp;"_"&amp;$D170&amp;"_9x16")</f>
        <v/>
      </c>
      <c r="O170" s="17" t="str">
        <f aca="false">IFERROR(INDEX(Ref!$G:$G,MATCH($F170,Ref!$F:$F,0)),"")</f>
        <v/>
      </c>
    </row>
    <row r="171" customFormat="false" ht="15" hidden="false" customHeight="false" outlineLevel="0" collapsed="false">
      <c r="A171" s="12"/>
      <c r="B171" s="13"/>
      <c r="C171" s="12"/>
      <c r="D171" s="12"/>
      <c r="E171" s="12"/>
      <c r="F171" s="12"/>
      <c r="G171" s="14"/>
      <c r="H171" s="14"/>
      <c r="I171" s="12"/>
      <c r="J171" s="15"/>
      <c r="K171" s="13"/>
      <c r="L171" s="13"/>
      <c r="M171" s="16" t="str">
        <f aca="false">IFERROR(INDEX(Hooks!$B:$B,MATCH($C171,Hooks!$A:$A,0)),"")</f>
        <v/>
      </c>
      <c r="N171" s="17" t="str">
        <f aca="false">IF($A171="","",$A171&amp;"_"&amp;TEXT($B171,"00")&amp;"_"&amp;$D171&amp;"_9x16")</f>
        <v/>
      </c>
      <c r="O171" s="17" t="str">
        <f aca="false">IFERROR(INDEX(Ref!$G:$G,MATCH($F171,Ref!$F:$F,0)),"")</f>
        <v/>
      </c>
    </row>
    <row r="172" customFormat="false" ht="15" hidden="false" customHeight="false" outlineLevel="0" collapsed="false">
      <c r="A172" s="12"/>
      <c r="B172" s="13"/>
      <c r="C172" s="12"/>
      <c r="D172" s="12"/>
      <c r="E172" s="12"/>
      <c r="F172" s="12"/>
      <c r="G172" s="14"/>
      <c r="H172" s="14"/>
      <c r="I172" s="12"/>
      <c r="J172" s="15"/>
      <c r="K172" s="13"/>
      <c r="L172" s="13"/>
      <c r="M172" s="16" t="str">
        <f aca="false">IFERROR(INDEX(Hooks!$B:$B,MATCH($C172,Hooks!$A:$A,0)),"")</f>
        <v/>
      </c>
      <c r="N172" s="17" t="str">
        <f aca="false">IF($A172="","",$A172&amp;"_"&amp;TEXT($B172,"00")&amp;"_"&amp;$D172&amp;"_9x16")</f>
        <v/>
      </c>
      <c r="O172" s="17" t="str">
        <f aca="false">IFERROR(INDEX(Ref!$G:$G,MATCH($F172,Ref!$F:$F,0)),"")</f>
        <v/>
      </c>
    </row>
    <row r="173" customFormat="false" ht="15" hidden="false" customHeight="false" outlineLevel="0" collapsed="false">
      <c r="A173" s="12"/>
      <c r="B173" s="13"/>
      <c r="C173" s="12"/>
      <c r="D173" s="12"/>
      <c r="E173" s="12"/>
      <c r="F173" s="12"/>
      <c r="G173" s="14"/>
      <c r="H173" s="14"/>
      <c r="I173" s="12"/>
      <c r="J173" s="15"/>
      <c r="K173" s="13"/>
      <c r="L173" s="13"/>
      <c r="M173" s="16" t="str">
        <f aca="false">IFERROR(INDEX(Hooks!$B:$B,MATCH($C173,Hooks!$A:$A,0)),"")</f>
        <v/>
      </c>
      <c r="N173" s="17" t="str">
        <f aca="false">IF($A173="","",$A173&amp;"_"&amp;TEXT($B173,"00")&amp;"_"&amp;$D173&amp;"_9x16")</f>
        <v/>
      </c>
      <c r="O173" s="17" t="str">
        <f aca="false">IFERROR(INDEX(Ref!$G:$G,MATCH($F173,Ref!$F:$F,0)),"")</f>
        <v/>
      </c>
    </row>
    <row r="174" customFormat="false" ht="15" hidden="false" customHeight="false" outlineLevel="0" collapsed="false">
      <c r="A174" s="12"/>
      <c r="B174" s="13"/>
      <c r="C174" s="12"/>
      <c r="D174" s="12"/>
      <c r="E174" s="12"/>
      <c r="F174" s="12"/>
      <c r="G174" s="14"/>
      <c r="H174" s="14"/>
      <c r="I174" s="12"/>
      <c r="J174" s="15"/>
      <c r="K174" s="13"/>
      <c r="L174" s="13"/>
      <c r="M174" s="16" t="str">
        <f aca="false">IFERROR(INDEX(Hooks!$B:$B,MATCH($C174,Hooks!$A:$A,0)),"")</f>
        <v/>
      </c>
      <c r="N174" s="17" t="str">
        <f aca="false">IF($A174="","",$A174&amp;"_"&amp;TEXT($B174,"00")&amp;"_"&amp;$D174&amp;"_9x16")</f>
        <v/>
      </c>
      <c r="O174" s="17" t="str">
        <f aca="false">IFERROR(INDEX(Ref!$G:$G,MATCH($F174,Ref!$F:$F,0)),"")</f>
        <v/>
      </c>
    </row>
    <row r="175" customFormat="false" ht="15" hidden="false" customHeight="false" outlineLevel="0" collapsed="false">
      <c r="A175" s="12"/>
      <c r="B175" s="13"/>
      <c r="C175" s="12"/>
      <c r="D175" s="12"/>
      <c r="E175" s="12"/>
      <c r="F175" s="12"/>
      <c r="G175" s="14"/>
      <c r="H175" s="14"/>
      <c r="I175" s="12"/>
      <c r="J175" s="15"/>
      <c r="K175" s="13"/>
      <c r="L175" s="13"/>
      <c r="M175" s="16" t="str">
        <f aca="false">IFERROR(INDEX(Hooks!$B:$B,MATCH($C175,Hooks!$A:$A,0)),"")</f>
        <v/>
      </c>
      <c r="N175" s="17" t="str">
        <f aca="false">IF($A175="","",$A175&amp;"_"&amp;TEXT($B175,"00")&amp;"_"&amp;$D175&amp;"_9x16")</f>
        <v/>
      </c>
      <c r="O175" s="17" t="str">
        <f aca="false">IFERROR(INDEX(Ref!$G:$G,MATCH($F175,Ref!$F:$F,0)),"")</f>
        <v/>
      </c>
    </row>
    <row r="176" customFormat="false" ht="15" hidden="false" customHeight="false" outlineLevel="0" collapsed="false">
      <c r="A176" s="12"/>
      <c r="B176" s="13"/>
      <c r="C176" s="12"/>
      <c r="D176" s="12"/>
      <c r="E176" s="12"/>
      <c r="F176" s="12"/>
      <c r="G176" s="14"/>
      <c r="H176" s="14"/>
      <c r="I176" s="12"/>
      <c r="J176" s="15"/>
      <c r="K176" s="13"/>
      <c r="L176" s="13"/>
      <c r="M176" s="16" t="str">
        <f aca="false">IFERROR(INDEX(Hooks!$B:$B,MATCH($C176,Hooks!$A:$A,0)),"")</f>
        <v/>
      </c>
      <c r="N176" s="17" t="str">
        <f aca="false">IF($A176="","",$A176&amp;"_"&amp;TEXT($B176,"00")&amp;"_"&amp;$D176&amp;"_9x16")</f>
        <v/>
      </c>
      <c r="O176" s="17" t="str">
        <f aca="false">IFERROR(INDEX(Ref!$G:$G,MATCH($F176,Ref!$F:$F,0)),"")</f>
        <v/>
      </c>
    </row>
    <row r="177" customFormat="false" ht="15" hidden="false" customHeight="false" outlineLevel="0" collapsed="false">
      <c r="A177" s="12"/>
      <c r="B177" s="13"/>
      <c r="C177" s="12"/>
      <c r="D177" s="12"/>
      <c r="E177" s="12"/>
      <c r="F177" s="12"/>
      <c r="G177" s="14"/>
      <c r="H177" s="14"/>
      <c r="I177" s="12"/>
      <c r="J177" s="15"/>
      <c r="K177" s="13"/>
      <c r="L177" s="13"/>
      <c r="M177" s="16" t="str">
        <f aca="false">IFERROR(INDEX(Hooks!$B:$B,MATCH($C177,Hooks!$A:$A,0)),"")</f>
        <v/>
      </c>
      <c r="N177" s="17" t="str">
        <f aca="false">IF($A177="","",$A177&amp;"_"&amp;TEXT($B177,"00")&amp;"_"&amp;$D177&amp;"_9x16")</f>
        <v/>
      </c>
      <c r="O177" s="17" t="str">
        <f aca="false">IFERROR(INDEX(Ref!$G:$G,MATCH($F177,Ref!$F:$F,0)),"")</f>
        <v/>
      </c>
    </row>
    <row r="178" customFormat="false" ht="15" hidden="false" customHeight="false" outlineLevel="0" collapsed="false">
      <c r="A178" s="12"/>
      <c r="B178" s="13"/>
      <c r="C178" s="12"/>
      <c r="D178" s="12"/>
      <c r="E178" s="12"/>
      <c r="F178" s="12"/>
      <c r="G178" s="14"/>
      <c r="H178" s="14"/>
      <c r="I178" s="12"/>
      <c r="J178" s="15"/>
      <c r="K178" s="13"/>
      <c r="L178" s="13"/>
      <c r="M178" s="16" t="str">
        <f aca="false">IFERROR(INDEX(Hooks!$B:$B,MATCH($C178,Hooks!$A:$A,0)),"")</f>
        <v/>
      </c>
      <c r="N178" s="17" t="str">
        <f aca="false">IF($A178="","",$A178&amp;"_"&amp;TEXT($B178,"00")&amp;"_"&amp;$D178&amp;"_9x16")</f>
        <v/>
      </c>
      <c r="O178" s="17" t="str">
        <f aca="false">IFERROR(INDEX(Ref!$G:$G,MATCH($F178,Ref!$F:$F,0)),"")</f>
        <v/>
      </c>
    </row>
    <row r="179" customFormat="false" ht="15" hidden="false" customHeight="false" outlineLevel="0" collapsed="false">
      <c r="A179" s="12"/>
      <c r="B179" s="13"/>
      <c r="C179" s="12"/>
      <c r="D179" s="12"/>
      <c r="E179" s="12"/>
      <c r="F179" s="12"/>
      <c r="G179" s="14"/>
      <c r="H179" s="14"/>
      <c r="I179" s="12"/>
      <c r="J179" s="15"/>
      <c r="K179" s="13"/>
      <c r="L179" s="13"/>
      <c r="M179" s="16" t="str">
        <f aca="false">IFERROR(INDEX(Hooks!$B:$B,MATCH($C179,Hooks!$A:$A,0)),"")</f>
        <v/>
      </c>
      <c r="N179" s="17" t="str">
        <f aca="false">IF($A179="","",$A179&amp;"_"&amp;TEXT($B179,"00")&amp;"_"&amp;$D179&amp;"_9x16")</f>
        <v/>
      </c>
      <c r="O179" s="17" t="str">
        <f aca="false">IFERROR(INDEX(Ref!$G:$G,MATCH($F179,Ref!$F:$F,0)),"")</f>
        <v/>
      </c>
    </row>
    <row r="180" customFormat="false" ht="15" hidden="false" customHeight="false" outlineLevel="0" collapsed="false">
      <c r="A180" s="12"/>
      <c r="B180" s="13"/>
      <c r="C180" s="12"/>
      <c r="D180" s="12"/>
      <c r="E180" s="12"/>
      <c r="F180" s="12"/>
      <c r="G180" s="14"/>
      <c r="H180" s="14"/>
      <c r="I180" s="12"/>
      <c r="J180" s="15"/>
      <c r="K180" s="13"/>
      <c r="L180" s="13"/>
      <c r="M180" s="16" t="str">
        <f aca="false">IFERROR(INDEX(Hooks!$B:$B,MATCH($C180,Hooks!$A:$A,0)),"")</f>
        <v/>
      </c>
      <c r="N180" s="17" t="str">
        <f aca="false">IF($A180="","",$A180&amp;"_"&amp;TEXT($B180,"00")&amp;"_"&amp;$D180&amp;"_9x16")</f>
        <v/>
      </c>
      <c r="O180" s="17" t="str">
        <f aca="false">IFERROR(INDEX(Ref!$G:$G,MATCH($F180,Ref!$F:$F,0)),"")</f>
        <v/>
      </c>
    </row>
    <row r="181" customFormat="false" ht="15" hidden="false" customHeight="false" outlineLevel="0" collapsed="false">
      <c r="A181" s="12"/>
      <c r="B181" s="13"/>
      <c r="C181" s="12"/>
      <c r="D181" s="12"/>
      <c r="E181" s="12"/>
      <c r="F181" s="12"/>
      <c r="G181" s="14"/>
      <c r="H181" s="14"/>
      <c r="I181" s="12"/>
      <c r="J181" s="15"/>
      <c r="K181" s="13"/>
      <c r="L181" s="13"/>
      <c r="M181" s="16" t="str">
        <f aca="false">IFERROR(INDEX(Hooks!$B:$B,MATCH($C181,Hooks!$A:$A,0)),"")</f>
        <v/>
      </c>
      <c r="N181" s="17" t="str">
        <f aca="false">IF($A181="","",$A181&amp;"_"&amp;TEXT($B181,"00")&amp;"_"&amp;$D181&amp;"_9x16")</f>
        <v/>
      </c>
      <c r="O181" s="17" t="str">
        <f aca="false">IFERROR(INDEX(Ref!$G:$G,MATCH($F181,Ref!$F:$F,0)),"")</f>
        <v/>
      </c>
    </row>
    <row r="182" customFormat="false" ht="15" hidden="false" customHeight="false" outlineLevel="0" collapsed="false">
      <c r="A182" s="12"/>
      <c r="B182" s="13"/>
      <c r="C182" s="12"/>
      <c r="D182" s="12"/>
      <c r="E182" s="12"/>
      <c r="F182" s="12"/>
      <c r="G182" s="14"/>
      <c r="H182" s="14"/>
      <c r="I182" s="12"/>
      <c r="J182" s="15"/>
      <c r="K182" s="13"/>
      <c r="L182" s="13"/>
      <c r="M182" s="16" t="str">
        <f aca="false">IFERROR(INDEX(Hooks!$B:$B,MATCH($C182,Hooks!$A:$A,0)),"")</f>
        <v/>
      </c>
      <c r="N182" s="17" t="str">
        <f aca="false">IF($A182="","",$A182&amp;"_"&amp;TEXT($B182,"00")&amp;"_"&amp;$D182&amp;"_9x16")</f>
        <v/>
      </c>
      <c r="O182" s="17" t="str">
        <f aca="false">IFERROR(INDEX(Ref!$G:$G,MATCH($F182,Ref!$F:$F,0)),"")</f>
        <v/>
      </c>
    </row>
    <row r="183" customFormat="false" ht="15" hidden="false" customHeight="false" outlineLevel="0" collapsed="false">
      <c r="A183" s="12"/>
      <c r="B183" s="13"/>
      <c r="C183" s="12"/>
      <c r="D183" s="12"/>
      <c r="E183" s="12"/>
      <c r="F183" s="12"/>
      <c r="G183" s="14"/>
      <c r="H183" s="14"/>
      <c r="I183" s="12"/>
      <c r="J183" s="15"/>
      <c r="K183" s="13"/>
      <c r="L183" s="13"/>
      <c r="M183" s="16" t="str">
        <f aca="false">IFERROR(INDEX(Hooks!$B:$B,MATCH($C183,Hooks!$A:$A,0)),"")</f>
        <v/>
      </c>
      <c r="N183" s="17" t="str">
        <f aca="false">IF($A183="","",$A183&amp;"_"&amp;TEXT($B183,"00")&amp;"_"&amp;$D183&amp;"_9x16")</f>
        <v/>
      </c>
      <c r="O183" s="17" t="str">
        <f aca="false">IFERROR(INDEX(Ref!$G:$G,MATCH($F183,Ref!$F:$F,0)),"")</f>
        <v/>
      </c>
    </row>
    <row r="184" customFormat="false" ht="15" hidden="false" customHeight="false" outlineLevel="0" collapsed="false">
      <c r="A184" s="12"/>
      <c r="B184" s="13"/>
      <c r="C184" s="12"/>
      <c r="D184" s="12"/>
      <c r="E184" s="12"/>
      <c r="F184" s="12"/>
      <c r="G184" s="14"/>
      <c r="H184" s="14"/>
      <c r="I184" s="12"/>
      <c r="J184" s="15"/>
      <c r="K184" s="13"/>
      <c r="L184" s="13"/>
      <c r="M184" s="16" t="str">
        <f aca="false">IFERROR(INDEX(Hooks!$B:$B,MATCH($C184,Hooks!$A:$A,0)),"")</f>
        <v/>
      </c>
      <c r="N184" s="17" t="str">
        <f aca="false">IF($A184="","",$A184&amp;"_"&amp;TEXT($B184,"00")&amp;"_"&amp;$D184&amp;"_9x16")</f>
        <v/>
      </c>
      <c r="O184" s="17" t="str">
        <f aca="false">IFERROR(INDEX(Ref!$G:$G,MATCH($F184,Ref!$F:$F,0)),"")</f>
        <v/>
      </c>
    </row>
    <row r="185" customFormat="false" ht="15" hidden="false" customHeight="false" outlineLevel="0" collapsed="false">
      <c r="A185" s="12"/>
      <c r="B185" s="13"/>
      <c r="C185" s="12"/>
      <c r="D185" s="12"/>
      <c r="E185" s="12"/>
      <c r="F185" s="12"/>
      <c r="G185" s="14"/>
      <c r="H185" s="14"/>
      <c r="I185" s="12"/>
      <c r="J185" s="15"/>
      <c r="K185" s="13"/>
      <c r="L185" s="13"/>
      <c r="M185" s="16" t="str">
        <f aca="false">IFERROR(INDEX(Hooks!$B:$B,MATCH($C185,Hooks!$A:$A,0)),"")</f>
        <v/>
      </c>
      <c r="N185" s="17" t="str">
        <f aca="false">IF($A185="","",$A185&amp;"_"&amp;TEXT($B185,"00")&amp;"_"&amp;$D185&amp;"_9x16")</f>
        <v/>
      </c>
      <c r="O185" s="17" t="str">
        <f aca="false">IFERROR(INDEX(Ref!$G:$G,MATCH($F185,Ref!$F:$F,0)),"")</f>
        <v/>
      </c>
    </row>
    <row r="186" customFormat="false" ht="15" hidden="false" customHeight="false" outlineLevel="0" collapsed="false">
      <c r="A186" s="12"/>
      <c r="B186" s="13"/>
      <c r="C186" s="12"/>
      <c r="D186" s="12"/>
      <c r="E186" s="12"/>
      <c r="F186" s="12"/>
      <c r="G186" s="14"/>
      <c r="H186" s="14"/>
      <c r="I186" s="12"/>
      <c r="J186" s="15"/>
      <c r="K186" s="13"/>
      <c r="L186" s="13"/>
      <c r="M186" s="16" t="str">
        <f aca="false">IFERROR(INDEX(Hooks!$B:$B,MATCH($C186,Hooks!$A:$A,0)),"")</f>
        <v/>
      </c>
      <c r="N186" s="17" t="str">
        <f aca="false">IF($A186="","",$A186&amp;"_"&amp;TEXT($B186,"00")&amp;"_"&amp;$D186&amp;"_9x16")</f>
        <v/>
      </c>
      <c r="O186" s="17" t="str">
        <f aca="false">IFERROR(INDEX(Ref!$G:$G,MATCH($F186,Ref!$F:$F,0)),"")</f>
        <v/>
      </c>
    </row>
    <row r="187" customFormat="false" ht="15" hidden="false" customHeight="false" outlineLevel="0" collapsed="false">
      <c r="A187" s="12"/>
      <c r="B187" s="13"/>
      <c r="C187" s="12"/>
      <c r="D187" s="12"/>
      <c r="E187" s="12"/>
      <c r="F187" s="12"/>
      <c r="G187" s="14"/>
      <c r="H187" s="14"/>
      <c r="I187" s="12"/>
      <c r="J187" s="15"/>
      <c r="K187" s="13"/>
      <c r="L187" s="13"/>
      <c r="M187" s="16" t="str">
        <f aca="false">IFERROR(INDEX(Hooks!$B:$B,MATCH($C187,Hooks!$A:$A,0)),"")</f>
        <v/>
      </c>
      <c r="N187" s="17" t="str">
        <f aca="false">IF($A187="","",$A187&amp;"_"&amp;TEXT($B187,"00")&amp;"_"&amp;$D187&amp;"_9x16")</f>
        <v/>
      </c>
      <c r="O187" s="17" t="str">
        <f aca="false">IFERROR(INDEX(Ref!$G:$G,MATCH($F187,Ref!$F:$F,0)),"")</f>
        <v/>
      </c>
    </row>
    <row r="188" customFormat="false" ht="15" hidden="false" customHeight="false" outlineLevel="0" collapsed="false">
      <c r="A188" s="12"/>
      <c r="B188" s="13"/>
      <c r="C188" s="12"/>
      <c r="D188" s="12"/>
      <c r="E188" s="12"/>
      <c r="F188" s="12"/>
      <c r="G188" s="14"/>
      <c r="H188" s="14"/>
      <c r="I188" s="12"/>
      <c r="J188" s="15"/>
      <c r="K188" s="13"/>
      <c r="L188" s="13"/>
      <c r="M188" s="16" t="str">
        <f aca="false">IFERROR(INDEX(Hooks!$B:$B,MATCH($C188,Hooks!$A:$A,0)),"")</f>
        <v/>
      </c>
      <c r="N188" s="17" t="str">
        <f aca="false">IF($A188="","",$A188&amp;"_"&amp;TEXT($B188,"00")&amp;"_"&amp;$D188&amp;"_9x16")</f>
        <v/>
      </c>
      <c r="O188" s="17" t="str">
        <f aca="false">IFERROR(INDEX(Ref!$G:$G,MATCH($F188,Ref!$F:$F,0)),"")</f>
        <v/>
      </c>
    </row>
    <row r="189" customFormat="false" ht="15" hidden="false" customHeight="false" outlineLevel="0" collapsed="false">
      <c r="A189" s="12"/>
      <c r="B189" s="13"/>
      <c r="C189" s="12"/>
      <c r="D189" s="12"/>
      <c r="E189" s="12"/>
      <c r="F189" s="12"/>
      <c r="G189" s="14"/>
      <c r="H189" s="14"/>
      <c r="I189" s="12"/>
      <c r="J189" s="15"/>
      <c r="K189" s="13"/>
      <c r="L189" s="13"/>
      <c r="M189" s="16" t="str">
        <f aca="false">IFERROR(INDEX(Hooks!$B:$B,MATCH($C189,Hooks!$A:$A,0)),"")</f>
        <v/>
      </c>
      <c r="N189" s="17" t="str">
        <f aca="false">IF($A189="","",$A189&amp;"_"&amp;TEXT($B189,"00")&amp;"_"&amp;$D189&amp;"_9x16")</f>
        <v/>
      </c>
      <c r="O189" s="17" t="str">
        <f aca="false">IFERROR(INDEX(Ref!$G:$G,MATCH($F189,Ref!$F:$F,0)),"")</f>
        <v/>
      </c>
    </row>
    <row r="190" customFormat="false" ht="15" hidden="false" customHeight="false" outlineLevel="0" collapsed="false">
      <c r="A190" s="12"/>
      <c r="B190" s="13"/>
      <c r="C190" s="12"/>
      <c r="D190" s="12"/>
      <c r="E190" s="12"/>
      <c r="F190" s="12"/>
      <c r="G190" s="14"/>
      <c r="H190" s="14"/>
      <c r="I190" s="12"/>
      <c r="J190" s="15"/>
      <c r="K190" s="13"/>
      <c r="L190" s="13"/>
      <c r="M190" s="16" t="str">
        <f aca="false">IFERROR(INDEX(Hooks!$B:$B,MATCH($C190,Hooks!$A:$A,0)),"")</f>
        <v/>
      </c>
      <c r="N190" s="17" t="str">
        <f aca="false">IF($A190="","",$A190&amp;"_"&amp;TEXT($B190,"00")&amp;"_"&amp;$D190&amp;"_9x16")</f>
        <v/>
      </c>
      <c r="O190" s="17" t="str">
        <f aca="false">IFERROR(INDEX(Ref!$G:$G,MATCH($F190,Ref!$F:$F,0)),"")</f>
        <v/>
      </c>
    </row>
    <row r="191" customFormat="false" ht="15" hidden="false" customHeight="false" outlineLevel="0" collapsed="false">
      <c r="A191" s="12"/>
      <c r="B191" s="13"/>
      <c r="C191" s="12"/>
      <c r="D191" s="12"/>
      <c r="E191" s="12"/>
      <c r="F191" s="12"/>
      <c r="G191" s="14"/>
      <c r="H191" s="14"/>
      <c r="I191" s="12"/>
      <c r="J191" s="15"/>
      <c r="K191" s="13"/>
      <c r="L191" s="13"/>
      <c r="M191" s="16" t="str">
        <f aca="false">IFERROR(INDEX(Hooks!$B:$B,MATCH($C191,Hooks!$A:$A,0)),"")</f>
        <v/>
      </c>
      <c r="N191" s="17" t="str">
        <f aca="false">IF($A191="","",$A191&amp;"_"&amp;TEXT($B191,"00")&amp;"_"&amp;$D191&amp;"_9x16")</f>
        <v/>
      </c>
      <c r="O191" s="17" t="str">
        <f aca="false">IFERROR(INDEX(Ref!$G:$G,MATCH($F191,Ref!$F:$F,0)),"")</f>
        <v/>
      </c>
    </row>
    <row r="192" customFormat="false" ht="15" hidden="false" customHeight="false" outlineLevel="0" collapsed="false">
      <c r="A192" s="12"/>
      <c r="B192" s="13"/>
      <c r="C192" s="12"/>
      <c r="D192" s="12"/>
      <c r="E192" s="12"/>
      <c r="F192" s="12"/>
      <c r="G192" s="14"/>
      <c r="H192" s="14"/>
      <c r="I192" s="12"/>
      <c r="J192" s="15"/>
      <c r="K192" s="13"/>
      <c r="L192" s="13"/>
      <c r="M192" s="16" t="str">
        <f aca="false">IFERROR(INDEX(Hooks!$B:$B,MATCH($C192,Hooks!$A:$A,0)),"")</f>
        <v/>
      </c>
      <c r="N192" s="17" t="str">
        <f aca="false">IF($A192="","",$A192&amp;"_"&amp;TEXT($B192,"00")&amp;"_"&amp;$D192&amp;"_9x16")</f>
        <v/>
      </c>
      <c r="O192" s="17" t="str">
        <f aca="false">IFERROR(INDEX(Ref!$G:$G,MATCH($F192,Ref!$F:$F,0)),"")</f>
        <v/>
      </c>
    </row>
    <row r="193" customFormat="false" ht="15" hidden="false" customHeight="false" outlineLevel="0" collapsed="false">
      <c r="A193" s="12"/>
      <c r="B193" s="13"/>
      <c r="C193" s="12"/>
      <c r="D193" s="12"/>
      <c r="E193" s="12"/>
      <c r="F193" s="12"/>
      <c r="G193" s="14"/>
      <c r="H193" s="14"/>
      <c r="I193" s="12"/>
      <c r="J193" s="15"/>
      <c r="K193" s="13"/>
      <c r="L193" s="13"/>
      <c r="M193" s="16" t="str">
        <f aca="false">IFERROR(INDEX(Hooks!$B:$B,MATCH($C193,Hooks!$A:$A,0)),"")</f>
        <v/>
      </c>
      <c r="N193" s="17" t="str">
        <f aca="false">IF($A193="","",$A193&amp;"_"&amp;TEXT($B193,"00")&amp;"_"&amp;$D193&amp;"_9x16")</f>
        <v/>
      </c>
      <c r="O193" s="17" t="str">
        <f aca="false">IFERROR(INDEX(Ref!$G:$G,MATCH($F193,Ref!$F:$F,0)),"")</f>
        <v/>
      </c>
    </row>
    <row r="194" customFormat="false" ht="15" hidden="false" customHeight="false" outlineLevel="0" collapsed="false">
      <c r="A194" s="12"/>
      <c r="B194" s="13"/>
      <c r="C194" s="12"/>
      <c r="D194" s="12"/>
      <c r="E194" s="12"/>
      <c r="F194" s="12"/>
      <c r="G194" s="14"/>
      <c r="H194" s="14"/>
      <c r="I194" s="12"/>
      <c r="J194" s="15"/>
      <c r="K194" s="13"/>
      <c r="L194" s="13"/>
      <c r="M194" s="16" t="str">
        <f aca="false">IFERROR(INDEX(Hooks!$B:$B,MATCH($C194,Hooks!$A:$A,0)),"")</f>
        <v/>
      </c>
      <c r="N194" s="17" t="str">
        <f aca="false">IF($A194="","",$A194&amp;"_"&amp;TEXT($B194,"00")&amp;"_"&amp;$D194&amp;"_9x16")</f>
        <v/>
      </c>
      <c r="O194" s="17" t="str">
        <f aca="false">IFERROR(INDEX(Ref!$G:$G,MATCH($F194,Ref!$F:$F,0)),"")</f>
        <v/>
      </c>
    </row>
    <row r="195" customFormat="false" ht="15" hidden="false" customHeight="false" outlineLevel="0" collapsed="false">
      <c r="A195" s="12"/>
      <c r="B195" s="13"/>
      <c r="C195" s="12"/>
      <c r="D195" s="12"/>
      <c r="E195" s="12"/>
      <c r="F195" s="12"/>
      <c r="G195" s="14"/>
      <c r="H195" s="14"/>
      <c r="I195" s="12"/>
      <c r="J195" s="15"/>
      <c r="K195" s="13"/>
      <c r="L195" s="13"/>
      <c r="M195" s="16" t="str">
        <f aca="false">IFERROR(INDEX(Hooks!$B:$B,MATCH($C195,Hooks!$A:$A,0)),"")</f>
        <v/>
      </c>
      <c r="N195" s="17" t="str">
        <f aca="false">IF($A195="","",$A195&amp;"_"&amp;TEXT($B195,"00")&amp;"_"&amp;$D195&amp;"_9x16")</f>
        <v/>
      </c>
      <c r="O195" s="17" t="str">
        <f aca="false">IFERROR(INDEX(Ref!$G:$G,MATCH($F195,Ref!$F:$F,0)),"")</f>
        <v/>
      </c>
    </row>
    <row r="196" customFormat="false" ht="15" hidden="false" customHeight="false" outlineLevel="0" collapsed="false">
      <c r="A196" s="12"/>
      <c r="B196" s="13"/>
      <c r="C196" s="12"/>
      <c r="D196" s="12"/>
      <c r="E196" s="12"/>
      <c r="F196" s="12"/>
      <c r="G196" s="14"/>
      <c r="H196" s="14"/>
      <c r="I196" s="12"/>
      <c r="J196" s="15"/>
      <c r="K196" s="13"/>
      <c r="L196" s="13"/>
      <c r="M196" s="16" t="str">
        <f aca="false">IFERROR(INDEX(Hooks!$B:$B,MATCH($C196,Hooks!$A:$A,0)),"")</f>
        <v/>
      </c>
      <c r="N196" s="17" t="str">
        <f aca="false">IF($A196="","",$A196&amp;"_"&amp;TEXT($B196,"00")&amp;"_"&amp;$D196&amp;"_9x16")</f>
        <v/>
      </c>
      <c r="O196" s="17" t="str">
        <f aca="false">IFERROR(INDEX(Ref!$G:$G,MATCH($F196,Ref!$F:$F,0)),"")</f>
        <v/>
      </c>
    </row>
    <row r="197" customFormat="false" ht="15" hidden="false" customHeight="false" outlineLevel="0" collapsed="false">
      <c r="A197" s="12"/>
      <c r="B197" s="13"/>
      <c r="C197" s="12"/>
      <c r="D197" s="12"/>
      <c r="E197" s="12"/>
      <c r="F197" s="12"/>
      <c r="G197" s="14"/>
      <c r="H197" s="14"/>
      <c r="I197" s="12"/>
      <c r="J197" s="15"/>
      <c r="K197" s="13"/>
      <c r="L197" s="13"/>
      <c r="M197" s="16" t="str">
        <f aca="false">IFERROR(INDEX(Hooks!$B:$B,MATCH($C197,Hooks!$A:$A,0)),"")</f>
        <v/>
      </c>
      <c r="N197" s="17" t="str">
        <f aca="false">IF($A197="","",$A197&amp;"_"&amp;TEXT($B197,"00")&amp;"_"&amp;$D197&amp;"_9x16")</f>
        <v/>
      </c>
      <c r="O197" s="17" t="str">
        <f aca="false">IFERROR(INDEX(Ref!$G:$G,MATCH($F197,Ref!$F:$F,0)),"")</f>
        <v/>
      </c>
    </row>
    <row r="198" customFormat="false" ht="15" hidden="false" customHeight="false" outlineLevel="0" collapsed="false">
      <c r="A198" s="12"/>
      <c r="B198" s="13"/>
      <c r="C198" s="12"/>
      <c r="D198" s="12"/>
      <c r="E198" s="12"/>
      <c r="F198" s="12"/>
      <c r="G198" s="14"/>
      <c r="H198" s="14"/>
      <c r="I198" s="12"/>
      <c r="J198" s="15"/>
      <c r="K198" s="13"/>
      <c r="L198" s="13"/>
      <c r="M198" s="16" t="str">
        <f aca="false">IFERROR(INDEX(Hooks!$B:$B,MATCH($C198,Hooks!$A:$A,0)),"")</f>
        <v/>
      </c>
      <c r="N198" s="17" t="str">
        <f aca="false">IF($A198="","",$A198&amp;"_"&amp;TEXT($B198,"00")&amp;"_"&amp;$D198&amp;"_9x16")</f>
        <v/>
      </c>
      <c r="O198" s="17" t="str">
        <f aca="false">IFERROR(INDEX(Ref!$G:$G,MATCH($F198,Ref!$F:$F,0)),"")</f>
        <v/>
      </c>
    </row>
    <row r="199" customFormat="false" ht="15" hidden="false" customHeight="false" outlineLevel="0" collapsed="false">
      <c r="A199" s="12"/>
      <c r="B199" s="13"/>
      <c r="C199" s="12"/>
      <c r="D199" s="12"/>
      <c r="E199" s="12"/>
      <c r="F199" s="12"/>
      <c r="G199" s="14"/>
      <c r="H199" s="14"/>
      <c r="I199" s="12"/>
      <c r="J199" s="15"/>
      <c r="K199" s="13"/>
      <c r="L199" s="13"/>
      <c r="M199" s="16" t="str">
        <f aca="false">IFERROR(INDEX(Hooks!$B:$B,MATCH($C199,Hooks!$A:$A,0)),"")</f>
        <v/>
      </c>
      <c r="N199" s="17" t="str">
        <f aca="false">IF($A199="","",$A199&amp;"_"&amp;TEXT($B199,"00")&amp;"_"&amp;$D199&amp;"_9x16")</f>
        <v/>
      </c>
      <c r="O199" s="17" t="str">
        <f aca="false">IFERROR(INDEX(Ref!$G:$G,MATCH($F199,Ref!$F:$F,0)),"")</f>
        <v/>
      </c>
    </row>
    <row r="200" customFormat="false" ht="15" hidden="false" customHeight="false" outlineLevel="0" collapsed="false">
      <c r="A200" s="12"/>
      <c r="B200" s="13"/>
      <c r="C200" s="12"/>
      <c r="D200" s="12"/>
      <c r="E200" s="12"/>
      <c r="F200" s="12"/>
      <c r="G200" s="14"/>
      <c r="H200" s="14"/>
      <c r="I200" s="12"/>
      <c r="J200" s="15"/>
      <c r="K200" s="13"/>
      <c r="L200" s="13"/>
      <c r="M200" s="16" t="str">
        <f aca="false">IFERROR(INDEX(Hooks!$B:$B,MATCH($C200,Hooks!$A:$A,0)),"")</f>
        <v/>
      </c>
      <c r="N200" s="17" t="str">
        <f aca="false">IF($A200="","",$A200&amp;"_"&amp;TEXT($B200,"00")&amp;"_"&amp;$D200&amp;"_9x16")</f>
        <v/>
      </c>
      <c r="O200" s="17" t="str">
        <f aca="false">IFERROR(INDEX(Ref!$G:$G,MATCH($F200,Ref!$F:$F,0)),"")</f>
        <v/>
      </c>
    </row>
    <row r="201" customFormat="false" ht="15" hidden="false" customHeight="false" outlineLevel="0" collapsed="false">
      <c r="A201" s="12"/>
      <c r="B201" s="13"/>
      <c r="C201" s="12"/>
      <c r="D201" s="12"/>
      <c r="E201" s="12"/>
      <c r="F201" s="12"/>
      <c r="G201" s="14"/>
      <c r="H201" s="14"/>
      <c r="I201" s="12"/>
      <c r="J201" s="15"/>
      <c r="K201" s="13"/>
      <c r="L201" s="13"/>
      <c r="M201" s="16" t="str">
        <f aca="false">IFERROR(INDEX(Hooks!$B:$B,MATCH($C201,Hooks!$A:$A,0)),"")</f>
        <v/>
      </c>
      <c r="N201" s="17" t="str">
        <f aca="false">IF($A201="","",$A201&amp;"_"&amp;TEXT($B201,"00")&amp;"_"&amp;$D201&amp;"_9x16")</f>
        <v/>
      </c>
      <c r="O201" s="17" t="str">
        <f aca="false">IFERROR(INDEX(Ref!$G:$G,MATCH($F201,Ref!$F:$F,0)),"")</f>
        <v/>
      </c>
    </row>
    <row r="202" customFormat="false" ht="15" hidden="false" customHeight="false" outlineLevel="0" collapsed="false">
      <c r="A202" s="12"/>
      <c r="B202" s="13"/>
      <c r="C202" s="12"/>
      <c r="D202" s="12"/>
      <c r="E202" s="12"/>
      <c r="F202" s="12"/>
      <c r="G202" s="14"/>
      <c r="H202" s="14"/>
      <c r="I202" s="12"/>
      <c r="J202" s="15"/>
      <c r="K202" s="13"/>
      <c r="L202" s="13"/>
      <c r="M202" s="16" t="str">
        <f aca="false">IFERROR(INDEX(Hooks!$B:$B,MATCH($C202,Hooks!$A:$A,0)),"")</f>
        <v/>
      </c>
      <c r="N202" s="17" t="str">
        <f aca="false">IF($A202="","",$A202&amp;"_"&amp;TEXT($B202,"00")&amp;"_"&amp;$D202&amp;"_9x16")</f>
        <v/>
      </c>
      <c r="O202" s="17" t="str">
        <f aca="false">IFERROR(INDEX(Ref!$G:$G,MATCH($F202,Ref!$F:$F,0)),"")</f>
        <v/>
      </c>
    </row>
    <row r="203" customFormat="false" ht="15" hidden="false" customHeight="false" outlineLevel="0" collapsed="false">
      <c r="A203" s="12"/>
      <c r="B203" s="13"/>
      <c r="C203" s="12"/>
      <c r="D203" s="12"/>
      <c r="E203" s="12"/>
      <c r="F203" s="12"/>
      <c r="G203" s="14"/>
      <c r="H203" s="14"/>
      <c r="I203" s="12"/>
      <c r="J203" s="15"/>
      <c r="K203" s="13"/>
      <c r="L203" s="13"/>
      <c r="M203" s="16" t="str">
        <f aca="false">IFERROR(INDEX(Hooks!$B:$B,MATCH($C203,Hooks!$A:$A,0)),"")</f>
        <v/>
      </c>
      <c r="N203" s="17" t="str">
        <f aca="false">IF($A203="","",$A203&amp;"_"&amp;TEXT($B203,"00")&amp;"_"&amp;$D203&amp;"_9x16")</f>
        <v/>
      </c>
      <c r="O203" s="17" t="str">
        <f aca="false">IFERROR(INDEX(Ref!$G:$G,MATCH($F203,Ref!$F:$F,0)),"")</f>
        <v/>
      </c>
    </row>
    <row r="204" customFormat="false" ht="15" hidden="false" customHeight="false" outlineLevel="0" collapsed="false">
      <c r="A204" s="12"/>
      <c r="B204" s="13"/>
      <c r="C204" s="12"/>
      <c r="D204" s="12"/>
      <c r="E204" s="12"/>
      <c r="F204" s="12"/>
      <c r="G204" s="14"/>
      <c r="H204" s="14"/>
      <c r="I204" s="12"/>
      <c r="J204" s="15"/>
      <c r="K204" s="13"/>
      <c r="L204" s="13"/>
      <c r="M204" s="16" t="str">
        <f aca="false">IFERROR(INDEX(Hooks!$B:$B,MATCH($C204,Hooks!$A:$A,0)),"")</f>
        <v/>
      </c>
      <c r="N204" s="17" t="str">
        <f aca="false">IF($A204="","",$A204&amp;"_"&amp;TEXT($B204,"00")&amp;"_"&amp;$D204&amp;"_9x16")</f>
        <v/>
      </c>
      <c r="O204" s="17" t="str">
        <f aca="false">IFERROR(INDEX(Ref!$G:$G,MATCH($F204,Ref!$F:$F,0)),"")</f>
        <v/>
      </c>
    </row>
  </sheetData>
  <autoFilter ref="A4:O204"/>
  <conditionalFormatting sqref="F5:F204">
    <cfRule type="cellIs" priority="2" operator="equal" aboveAverage="0" equalAverage="0" bottom="0" percent="0" rank="0" text="" dxfId="10">
      <formula>"Idea"</formula>
    </cfRule>
    <cfRule type="cellIs" priority="3" operator="equal" aboveAverage="0" equalAverage="0" bottom="0" percent="0" rank="0" text="" dxfId="11">
      <formula>"Prompted"</formula>
    </cfRule>
    <cfRule type="cellIs" priority="4" operator="equal" aboveAverage="0" equalAverage="0" bottom="0" percent="0" rank="0" text="" dxfId="12">
      <formula>"Generated"</formula>
    </cfRule>
    <cfRule type="cellIs" priority="5" operator="equal" aboveAverage="0" equalAverage="0" bottom="0" percent="0" rank="0" text="" dxfId="13">
      <formula>"Editing"</formula>
    </cfRule>
    <cfRule type="cellIs" priority="6" operator="equal" aboveAverage="0" equalAverage="0" bottom="0" percent="0" rank="0" text="" dxfId="12">
      <formula>"Review"</formula>
    </cfRule>
    <cfRule type="cellIs" priority="7" operator="equal" aboveAverage="0" equalAverage="0" bottom="0" percent="0" rank="0" text="" dxfId="14">
      <formula>"Approved"</formula>
    </cfRule>
    <cfRule type="cellIs" priority="8" operator="equal" aboveAverage="0" equalAverage="0" bottom="0" percent="0" rank="0" text="" dxfId="15">
      <formula>"Posted"</formula>
    </cfRule>
  </conditionalFormatting>
  <conditionalFormatting sqref="A2">
    <cfRule type="cellIs" priority="9" operator="lessThan" aboveAverage="0" equalAverage="0" bottom="0" percent="0" rank="0" text="" dxfId="16">
      <formula>6</formula>
    </cfRule>
  </conditionalFormatting>
  <conditionalFormatting sqref="G2">
    <cfRule type="cellIs" priority="10" operator="equal" aboveAverage="0" equalAverage="0" bottom="0" percent="0" rank="0" text="" dxfId="17">
      <formula>"LOW — brief a block"</formula>
    </cfRule>
  </conditionalFormatting>
  <dataValidations count="3">
    <dataValidation allowBlank="true" errorStyle="stop" operator="between" showDropDown="false" showErrorMessage="false" showInputMessage="false" sqref="F5:F204" type="list">
      <formula1>Ref!$F$4:$F$10</formula1>
      <formula2>0</formula2>
    </dataValidation>
    <dataValidation allowBlank="true" errorStyle="stop" operator="between" showDropDown="false" showErrorMessage="false" showInputMessage="false" sqref="E5:E204" type="list">
      <formula1>Ref!$A$4:$A$8</formula1>
      <formula2>0</formula2>
    </dataValidation>
    <dataValidation allowBlank="true" errorStyle="stop" operator="between" showDropDown="false" showErrorMessage="false" showInputMessage="false" sqref="A5:A204" type="list">
      <formula1>Themes!$A$2:$A$60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5" min="4" style="0" width="30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34"/>
  </cols>
  <sheetData>
    <row r="1" customFormat="false" ht="21.75" hidden="false" customHeight="true" outlineLevel="0" collapsed="false">
      <c r="A1" s="19" t="s">
        <v>24</v>
      </c>
      <c r="B1" s="19" t="s">
        <v>59</v>
      </c>
      <c r="C1" s="19" t="s">
        <v>60</v>
      </c>
      <c r="D1" s="19" t="s">
        <v>61</v>
      </c>
      <c r="E1" s="19" t="s">
        <v>62</v>
      </c>
      <c r="F1" s="19" t="s">
        <v>29</v>
      </c>
      <c r="G1" s="19" t="s">
        <v>63</v>
      </c>
      <c r="H1" s="19" t="s">
        <v>64</v>
      </c>
      <c r="I1" s="19" t="s">
        <v>65</v>
      </c>
      <c r="J1" s="19" t="s">
        <v>66</v>
      </c>
      <c r="K1" s="19" t="s">
        <v>67</v>
      </c>
    </row>
    <row r="2" customFormat="false" ht="23.85" hidden="false" customHeight="false" outlineLevel="0" collapsed="false">
      <c r="A2" s="12" t="s">
        <v>39</v>
      </c>
      <c r="B2" s="12" t="s">
        <v>68</v>
      </c>
      <c r="C2" s="12" t="s">
        <v>69</v>
      </c>
      <c r="D2" s="12"/>
      <c r="E2" s="12"/>
      <c r="F2" s="12" t="s">
        <v>19</v>
      </c>
      <c r="G2" s="12" t="n">
        <v>12</v>
      </c>
      <c r="H2" s="12" t="n">
        <f aca="false">COUNTIFS(Spots!$A:$A,$A2,Spots!$F:$F,"Posted")</f>
        <v>0</v>
      </c>
      <c r="I2" s="20" t="n">
        <f aca="false">IF(N($G2)=0,"",$H2/$G2)</f>
        <v>0</v>
      </c>
      <c r="J2" s="15"/>
      <c r="K2" s="21" t="s">
        <v>70</v>
      </c>
    </row>
    <row r="3" customFormat="false" ht="15" hidden="false" customHeight="false" outlineLevel="0" collapsed="false">
      <c r="A3" s="12"/>
      <c r="B3" s="12"/>
      <c r="C3" s="12"/>
      <c r="D3" s="12"/>
      <c r="E3" s="12"/>
      <c r="F3" s="12"/>
      <c r="G3" s="12"/>
      <c r="H3" s="12" t="n">
        <f aca="false">COUNTIFS(Spots!$A:$A,$A3,Spots!$F:$F,"Posted")</f>
        <v>0</v>
      </c>
      <c r="I3" s="20" t="str">
        <f aca="false">IF(N($G3)=0,"",$H3/$G3)</f>
        <v/>
      </c>
      <c r="J3" s="15"/>
      <c r="K3" s="14"/>
    </row>
    <row r="4" customFormat="false" ht="15" hidden="false" customHeight="false" outlineLevel="0" collapsed="false">
      <c r="A4" s="12"/>
      <c r="B4" s="12"/>
      <c r="C4" s="12"/>
      <c r="D4" s="12"/>
      <c r="E4" s="12"/>
      <c r="F4" s="12"/>
      <c r="G4" s="12"/>
      <c r="H4" s="12" t="n">
        <f aca="false">COUNTIFS(Spots!$A:$A,$A4,Spots!$F:$F,"Posted")</f>
        <v>0</v>
      </c>
      <c r="I4" s="20" t="str">
        <f aca="false">IF(N($G4)=0,"",$H4/$G4)</f>
        <v/>
      </c>
      <c r="J4" s="15"/>
      <c r="K4" s="14"/>
    </row>
    <row r="5" customFormat="false" ht="15" hidden="false" customHeight="false" outlineLevel="0" collapsed="false">
      <c r="A5" s="12"/>
      <c r="B5" s="12"/>
      <c r="C5" s="12"/>
      <c r="D5" s="12"/>
      <c r="E5" s="12"/>
      <c r="F5" s="12"/>
      <c r="G5" s="12"/>
      <c r="H5" s="12" t="n">
        <f aca="false">COUNTIFS(Spots!$A:$A,$A5,Spots!$F:$F,"Posted")</f>
        <v>0</v>
      </c>
      <c r="I5" s="20" t="str">
        <f aca="false">IF(N($G5)=0,"",$H5/$G5)</f>
        <v/>
      </c>
      <c r="J5" s="15"/>
      <c r="K5" s="14"/>
    </row>
    <row r="6" customFormat="false" ht="15" hidden="false" customHeight="false" outlineLevel="0" collapsed="false">
      <c r="A6" s="12"/>
      <c r="B6" s="12"/>
      <c r="C6" s="12"/>
      <c r="D6" s="12"/>
      <c r="E6" s="12"/>
      <c r="F6" s="12"/>
      <c r="G6" s="12"/>
      <c r="H6" s="12" t="n">
        <f aca="false">COUNTIFS(Spots!$A:$A,$A6,Spots!$F:$F,"Posted")</f>
        <v>0</v>
      </c>
      <c r="I6" s="20" t="str">
        <f aca="false">IF(N($G6)=0,"",$H6/$G6)</f>
        <v/>
      </c>
      <c r="J6" s="15"/>
      <c r="K6" s="14"/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2"/>
      <c r="H7" s="12" t="n">
        <f aca="false">COUNTIFS(Spots!$A:$A,$A7,Spots!$F:$F,"Posted")</f>
        <v>0</v>
      </c>
      <c r="I7" s="20" t="str">
        <f aca="false">IF(N($G7)=0,"",$H7/$G7)</f>
        <v/>
      </c>
      <c r="J7" s="15"/>
      <c r="K7" s="14"/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2"/>
      <c r="H8" s="12" t="n">
        <f aca="false">COUNTIFS(Spots!$A:$A,$A8,Spots!$F:$F,"Posted")</f>
        <v>0</v>
      </c>
      <c r="I8" s="20" t="str">
        <f aca="false">IF(N($G8)=0,"",$H8/$G8)</f>
        <v/>
      </c>
      <c r="J8" s="15"/>
      <c r="K8" s="14"/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2"/>
      <c r="H9" s="12" t="n">
        <f aca="false">COUNTIFS(Spots!$A:$A,$A9,Spots!$F:$F,"Posted")</f>
        <v>0</v>
      </c>
      <c r="I9" s="20" t="str">
        <f aca="false">IF(N($G9)=0,"",$H9/$G9)</f>
        <v/>
      </c>
      <c r="J9" s="15"/>
      <c r="K9" s="14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2"/>
      <c r="H10" s="12" t="n">
        <f aca="false">COUNTIFS(Spots!$A:$A,$A10,Spots!$F:$F,"Posted")</f>
        <v>0</v>
      </c>
      <c r="I10" s="20" t="str">
        <f aca="false">IF(N($G10)=0,"",$H10/$G10)</f>
        <v/>
      </c>
      <c r="J10" s="15"/>
      <c r="K10" s="14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2"/>
      <c r="H11" s="12" t="n">
        <f aca="false">COUNTIFS(Spots!$A:$A,$A11,Spots!$F:$F,"Posted")</f>
        <v>0</v>
      </c>
      <c r="I11" s="20" t="str">
        <f aca="false">IF(N($G11)=0,"",$H11/$G11)</f>
        <v/>
      </c>
      <c r="J11" s="15"/>
      <c r="K11" s="14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2"/>
      <c r="H12" s="12" t="n">
        <f aca="false">COUNTIFS(Spots!$A:$A,$A12,Spots!$F:$F,"Posted")</f>
        <v>0</v>
      </c>
      <c r="I12" s="20" t="str">
        <f aca="false">IF(N($G12)=0,"",$H12/$G12)</f>
        <v/>
      </c>
      <c r="J12" s="15"/>
      <c r="K12" s="14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2"/>
      <c r="H13" s="12" t="n">
        <f aca="false">COUNTIFS(Spots!$A:$A,$A13,Spots!$F:$F,"Posted")</f>
        <v>0</v>
      </c>
      <c r="I13" s="20" t="str">
        <f aca="false">IF(N($G13)=0,"",$H13/$G13)</f>
        <v/>
      </c>
      <c r="J13" s="15"/>
      <c r="K13" s="14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  <c r="H14" s="12" t="n">
        <f aca="false">COUNTIFS(Spots!$A:$A,$A14,Spots!$F:$F,"Posted")</f>
        <v>0</v>
      </c>
      <c r="I14" s="20" t="str">
        <f aca="false">IF(N($G14)=0,"",$H14/$G14)</f>
        <v/>
      </c>
      <c r="J14" s="15"/>
      <c r="K14" s="14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2"/>
      <c r="H15" s="12" t="n">
        <f aca="false">COUNTIFS(Spots!$A:$A,$A15,Spots!$F:$F,"Posted")</f>
        <v>0</v>
      </c>
      <c r="I15" s="20" t="str">
        <f aca="false">IF(N($G15)=0,"",$H15/$G15)</f>
        <v/>
      </c>
      <c r="J15" s="15"/>
      <c r="K15" s="14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  <c r="H16" s="12" t="n">
        <f aca="false">COUNTIFS(Spots!$A:$A,$A16,Spots!$F:$F,"Posted")</f>
        <v>0</v>
      </c>
      <c r="I16" s="20" t="str">
        <f aca="false">IF(N($G16)=0,"",$H16/$G16)</f>
        <v/>
      </c>
      <c r="J16" s="15"/>
      <c r="K16" s="14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2"/>
      <c r="H17" s="12" t="n">
        <f aca="false">COUNTIFS(Spots!$A:$A,$A17,Spots!$F:$F,"Posted")</f>
        <v>0</v>
      </c>
      <c r="I17" s="20" t="str">
        <f aca="false">IF(N($G17)=0,"",$H17/$G17)</f>
        <v/>
      </c>
      <c r="J17" s="15"/>
      <c r="K17" s="14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12" t="n">
        <f aca="false">COUNTIFS(Spots!$A:$A,$A18,Spots!$F:$F,"Posted")</f>
        <v>0</v>
      </c>
      <c r="I18" s="20" t="str">
        <f aca="false">IF(N($G18)=0,"",$H18/$G18)</f>
        <v/>
      </c>
      <c r="J18" s="15"/>
      <c r="K18" s="14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  <c r="H19" s="12" t="n">
        <f aca="false">COUNTIFS(Spots!$A:$A,$A19,Spots!$F:$F,"Posted")</f>
        <v>0</v>
      </c>
      <c r="I19" s="20" t="str">
        <f aca="false">IF(N($G19)=0,"",$H19/$G19)</f>
        <v/>
      </c>
      <c r="J19" s="15"/>
      <c r="K19" s="14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  <c r="H20" s="12" t="n">
        <f aca="false">COUNTIFS(Spots!$A:$A,$A20,Spots!$F:$F,"Posted")</f>
        <v>0</v>
      </c>
      <c r="I20" s="20" t="str">
        <f aca="false">IF(N($G20)=0,"",$H20/$G20)</f>
        <v/>
      </c>
      <c r="J20" s="15"/>
      <c r="K20" s="14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2"/>
      <c r="H21" s="12" t="n">
        <f aca="false">COUNTIFS(Spots!$A:$A,$A21,Spots!$F:$F,"Posted")</f>
        <v>0</v>
      </c>
      <c r="I21" s="20" t="str">
        <f aca="false">IF(N($G21)=0,"",$H21/$G21)</f>
        <v/>
      </c>
      <c r="J21" s="15"/>
      <c r="K21" s="14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  <c r="H22" s="12" t="n">
        <f aca="false">COUNTIFS(Spots!$A:$A,$A22,Spots!$F:$F,"Posted")</f>
        <v>0</v>
      </c>
      <c r="I22" s="20" t="str">
        <f aca="false">IF(N($G22)=0,"",$H22/$G22)</f>
        <v/>
      </c>
      <c r="J22" s="15"/>
      <c r="K22" s="14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2"/>
      <c r="H23" s="12" t="n">
        <f aca="false">COUNTIFS(Spots!$A:$A,$A23,Spots!$F:$F,"Posted")</f>
        <v>0</v>
      </c>
      <c r="I23" s="20" t="str">
        <f aca="false">IF(N($G23)=0,"",$H23/$G23)</f>
        <v/>
      </c>
      <c r="J23" s="15"/>
      <c r="K23" s="14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  <c r="H24" s="12" t="n">
        <f aca="false">COUNTIFS(Spots!$A:$A,$A24,Spots!$F:$F,"Posted")</f>
        <v>0</v>
      </c>
      <c r="I24" s="20" t="str">
        <f aca="false">IF(N($G24)=0,"",$H24/$G24)</f>
        <v/>
      </c>
      <c r="J24" s="15"/>
      <c r="K24" s="14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2"/>
      <c r="H25" s="12" t="n">
        <f aca="false">COUNTIFS(Spots!$A:$A,$A25,Spots!$F:$F,"Posted")</f>
        <v>0</v>
      </c>
      <c r="I25" s="20" t="str">
        <f aca="false">IF(N($G25)=0,"",$H25/$G25)</f>
        <v/>
      </c>
      <c r="J25" s="15"/>
      <c r="K25" s="14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  <c r="H26" s="12" t="n">
        <f aca="false">COUNTIFS(Spots!$A:$A,$A26,Spots!$F:$F,"Posted")</f>
        <v>0</v>
      </c>
      <c r="I26" s="20" t="str">
        <f aca="false">IF(N($G26)=0,"",$H26/$G26)</f>
        <v/>
      </c>
      <c r="J26" s="15"/>
      <c r="K26" s="14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2"/>
      <c r="H27" s="12" t="n">
        <f aca="false">COUNTIFS(Spots!$A:$A,$A27,Spots!$F:$F,"Posted")</f>
        <v>0</v>
      </c>
      <c r="I27" s="20" t="str">
        <f aca="false">IF(N($G27)=0,"",$H27/$G27)</f>
        <v/>
      </c>
      <c r="J27" s="15"/>
      <c r="K27" s="14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  <c r="H28" s="12" t="n">
        <f aca="false">COUNTIFS(Spots!$A:$A,$A28,Spots!$F:$F,"Posted")</f>
        <v>0</v>
      </c>
      <c r="I28" s="20" t="str">
        <f aca="false">IF(N($G28)=0,"",$H28/$G28)</f>
        <v/>
      </c>
      <c r="J28" s="15"/>
      <c r="K28" s="14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  <c r="H29" s="12" t="n">
        <f aca="false">COUNTIFS(Spots!$A:$A,$A29,Spots!$F:$F,"Posted")</f>
        <v>0</v>
      </c>
      <c r="I29" s="20" t="str">
        <f aca="false">IF(N($G29)=0,"",$H29/$G29)</f>
        <v/>
      </c>
      <c r="J29" s="15"/>
      <c r="K29" s="14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2" t="n">
        <f aca="false">COUNTIFS(Spots!$A:$A,$A30,Spots!$F:$F,"Posted")</f>
        <v>0</v>
      </c>
      <c r="I30" s="20" t="str">
        <f aca="false">IF(N($G30)=0,"",$H30/$G30)</f>
        <v/>
      </c>
      <c r="J30" s="15"/>
      <c r="K30" s="14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2"/>
      <c r="H31" s="12" t="n">
        <f aca="false">COUNTIFS(Spots!$A:$A,$A31,Spots!$F:$F,"Posted")</f>
        <v>0</v>
      </c>
      <c r="I31" s="20" t="str">
        <f aca="false">IF(N($G31)=0,"",$H31/$G31)</f>
        <v/>
      </c>
      <c r="J31" s="15"/>
      <c r="K31" s="14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2"/>
      <c r="H32" s="12" t="n">
        <f aca="false">COUNTIFS(Spots!$A:$A,$A32,Spots!$F:$F,"Posted")</f>
        <v>0</v>
      </c>
      <c r="I32" s="20" t="str">
        <f aca="false">IF(N($G32)=0,"",$H32/$G32)</f>
        <v/>
      </c>
      <c r="J32" s="15"/>
      <c r="K32" s="14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2"/>
      <c r="H33" s="12" t="n">
        <f aca="false">COUNTIFS(Spots!$A:$A,$A33,Spots!$F:$F,"Posted")</f>
        <v>0</v>
      </c>
      <c r="I33" s="20" t="str">
        <f aca="false">IF(N($G33)=0,"",$H33/$G33)</f>
        <v/>
      </c>
      <c r="J33" s="15"/>
      <c r="K33" s="14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2"/>
      <c r="H34" s="12" t="n">
        <f aca="false">COUNTIFS(Spots!$A:$A,$A34,Spots!$F:$F,"Posted")</f>
        <v>0</v>
      </c>
      <c r="I34" s="20" t="str">
        <f aca="false">IF(N($G34)=0,"",$H34/$G34)</f>
        <v/>
      </c>
      <c r="J34" s="15"/>
      <c r="K34" s="14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2"/>
      <c r="H35" s="12" t="n">
        <f aca="false">COUNTIFS(Spots!$A:$A,$A35,Spots!$F:$F,"Posted")</f>
        <v>0</v>
      </c>
      <c r="I35" s="20" t="str">
        <f aca="false">IF(N($G35)=0,"",$H35/$G35)</f>
        <v/>
      </c>
      <c r="J35" s="15"/>
      <c r="K35" s="14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2"/>
      <c r="H36" s="12" t="n">
        <f aca="false">COUNTIFS(Spots!$A:$A,$A36,Spots!$F:$F,"Posted")</f>
        <v>0</v>
      </c>
      <c r="I36" s="20" t="str">
        <f aca="false">IF(N($G36)=0,"",$H36/$G36)</f>
        <v/>
      </c>
      <c r="J36" s="15"/>
      <c r="K36" s="14"/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2"/>
      <c r="G37" s="12"/>
      <c r="H37" s="12" t="n">
        <f aca="false">COUNTIFS(Spots!$A:$A,$A37,Spots!$F:$F,"Posted")</f>
        <v>0</v>
      </c>
      <c r="I37" s="20" t="str">
        <f aca="false">IF(N($G37)=0,"",$H37/$G37)</f>
        <v/>
      </c>
      <c r="J37" s="15"/>
      <c r="K37" s="14"/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2"/>
      <c r="H38" s="12" t="n">
        <f aca="false">COUNTIFS(Spots!$A:$A,$A38,Spots!$F:$F,"Posted")</f>
        <v>0</v>
      </c>
      <c r="I38" s="20" t="str">
        <f aca="false">IF(N($G38)=0,"",$H38/$G38)</f>
        <v/>
      </c>
      <c r="J38" s="15"/>
      <c r="K38" s="14"/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2"/>
      <c r="G39" s="12"/>
      <c r="H39" s="12" t="n">
        <f aca="false">COUNTIFS(Spots!$A:$A,$A39,Spots!$F:$F,"Posted")</f>
        <v>0</v>
      </c>
      <c r="I39" s="20" t="str">
        <f aca="false">IF(N($G39)=0,"",$H39/$G39)</f>
        <v/>
      </c>
      <c r="J39" s="15"/>
      <c r="K39" s="14"/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2"/>
      <c r="G40" s="12"/>
      <c r="H40" s="12" t="n">
        <f aca="false">COUNTIFS(Spots!$A:$A,$A40,Spots!$F:$F,"Posted")</f>
        <v>0</v>
      </c>
      <c r="I40" s="20" t="str">
        <f aca="false">IF(N($G40)=0,"",$H40/$G40)</f>
        <v/>
      </c>
      <c r="J40" s="15"/>
      <c r="K40" s="14"/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2"/>
      <c r="G41" s="12"/>
      <c r="H41" s="12" t="n">
        <f aca="false">COUNTIFS(Spots!$A:$A,$A41,Spots!$F:$F,"Posted")</f>
        <v>0</v>
      </c>
      <c r="I41" s="20" t="str">
        <f aca="false">IF(N($G41)=0,"",$H41/$G41)</f>
        <v/>
      </c>
      <c r="J41" s="15"/>
      <c r="K41" s="14"/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2"/>
      <c r="G42" s="12"/>
      <c r="H42" s="12" t="n">
        <f aca="false">COUNTIFS(Spots!$A:$A,$A42,Spots!$F:$F,"Posted")</f>
        <v>0</v>
      </c>
      <c r="I42" s="20" t="str">
        <f aca="false">IF(N($G42)=0,"",$H42/$G42)</f>
        <v/>
      </c>
      <c r="J42" s="15"/>
      <c r="K42" s="14"/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2"/>
      <c r="G43" s="12"/>
      <c r="H43" s="12" t="n">
        <f aca="false">COUNTIFS(Spots!$A:$A,$A43,Spots!$F:$F,"Posted")</f>
        <v>0</v>
      </c>
      <c r="I43" s="20" t="str">
        <f aca="false">IF(N($G43)=0,"",$H43/$G43)</f>
        <v/>
      </c>
      <c r="J43" s="15"/>
      <c r="K43" s="14"/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  <c r="G44" s="12"/>
      <c r="H44" s="12" t="n">
        <f aca="false">COUNTIFS(Spots!$A:$A,$A44,Spots!$F:$F,"Posted")</f>
        <v>0</v>
      </c>
      <c r="I44" s="20" t="str">
        <f aca="false">IF(N($G44)=0,"",$H44/$G44)</f>
        <v/>
      </c>
      <c r="J44" s="15"/>
      <c r="K44" s="14"/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2"/>
      <c r="G45" s="12"/>
      <c r="H45" s="12" t="n">
        <f aca="false">COUNTIFS(Spots!$A:$A,$A45,Spots!$F:$F,"Posted")</f>
        <v>0</v>
      </c>
      <c r="I45" s="20" t="str">
        <f aca="false">IF(N($G45)=0,"",$H45/$G45)</f>
        <v/>
      </c>
      <c r="J45" s="15"/>
      <c r="K45" s="14"/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2"/>
      <c r="G46" s="12"/>
      <c r="H46" s="12" t="n">
        <f aca="false">COUNTIFS(Spots!$A:$A,$A46,Spots!$F:$F,"Posted")</f>
        <v>0</v>
      </c>
      <c r="I46" s="20" t="str">
        <f aca="false">IF(N($G46)=0,"",$H46/$G46)</f>
        <v/>
      </c>
      <c r="J46" s="15"/>
      <c r="K46" s="14"/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2"/>
      <c r="G47" s="12"/>
      <c r="H47" s="12" t="n">
        <f aca="false">COUNTIFS(Spots!$A:$A,$A47,Spots!$F:$F,"Posted")</f>
        <v>0</v>
      </c>
      <c r="I47" s="20" t="str">
        <f aca="false">IF(N($G47)=0,"",$H47/$G47)</f>
        <v/>
      </c>
      <c r="J47" s="15"/>
      <c r="K47" s="14"/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2"/>
      <c r="G48" s="12"/>
      <c r="H48" s="12" t="n">
        <f aca="false">COUNTIFS(Spots!$A:$A,$A48,Spots!$F:$F,"Posted")</f>
        <v>0</v>
      </c>
      <c r="I48" s="20" t="str">
        <f aca="false">IF(N($G48)=0,"",$H48/$G48)</f>
        <v/>
      </c>
      <c r="J48" s="15"/>
      <c r="K48" s="14"/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2"/>
      <c r="G49" s="12"/>
      <c r="H49" s="12" t="n">
        <f aca="false">COUNTIFS(Spots!$A:$A,$A49,Spots!$F:$F,"Posted")</f>
        <v>0</v>
      </c>
      <c r="I49" s="20" t="str">
        <f aca="false">IF(N($G49)=0,"",$H49/$G49)</f>
        <v/>
      </c>
      <c r="J49" s="15"/>
      <c r="K49" s="14"/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2"/>
      <c r="G50" s="12"/>
      <c r="H50" s="12" t="n">
        <f aca="false">COUNTIFS(Spots!$A:$A,$A50,Spots!$F:$F,"Posted")</f>
        <v>0</v>
      </c>
      <c r="I50" s="20" t="str">
        <f aca="false">IF(N($G50)=0,"",$H50/$G50)</f>
        <v/>
      </c>
      <c r="J50" s="15"/>
      <c r="K50" s="14"/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2"/>
      <c r="G51" s="12"/>
      <c r="H51" s="12" t="n">
        <f aca="false">COUNTIFS(Spots!$A:$A,$A51,Spots!$F:$F,"Posted")</f>
        <v>0</v>
      </c>
      <c r="I51" s="20" t="str">
        <f aca="false">IF(N($G51)=0,"",$H51/$G51)</f>
        <v/>
      </c>
      <c r="J51" s="15"/>
      <c r="K51" s="14"/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2"/>
      <c r="G52" s="12"/>
      <c r="H52" s="12" t="n">
        <f aca="false">COUNTIFS(Spots!$A:$A,$A52,Spots!$F:$F,"Posted")</f>
        <v>0</v>
      </c>
      <c r="I52" s="20" t="str">
        <f aca="false">IF(N($G52)=0,"",$H52/$G52)</f>
        <v/>
      </c>
      <c r="J52" s="15"/>
      <c r="K52" s="14"/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2"/>
      <c r="G53" s="12"/>
      <c r="H53" s="12" t="n">
        <f aca="false">COUNTIFS(Spots!$A:$A,$A53,Spots!$F:$F,"Posted")</f>
        <v>0</v>
      </c>
      <c r="I53" s="20" t="str">
        <f aca="false">IF(N($G53)=0,"",$H53/$G53)</f>
        <v/>
      </c>
      <c r="J53" s="15"/>
      <c r="K53" s="14"/>
    </row>
    <row r="54" customFormat="false" ht="15" hidden="false" customHeight="false" outlineLevel="0" collapsed="false">
      <c r="A54" s="12"/>
      <c r="B54" s="12"/>
      <c r="C54" s="12"/>
      <c r="D54" s="12"/>
      <c r="E54" s="12"/>
      <c r="F54" s="12"/>
      <c r="G54" s="12"/>
      <c r="H54" s="12" t="n">
        <f aca="false">COUNTIFS(Spots!$A:$A,$A54,Spots!$F:$F,"Posted")</f>
        <v>0</v>
      </c>
      <c r="I54" s="20" t="str">
        <f aca="false">IF(N($G54)=0,"",$H54/$G54)</f>
        <v/>
      </c>
      <c r="J54" s="15"/>
      <c r="K54" s="14"/>
    </row>
    <row r="55" customFormat="false" ht="15" hidden="false" customHeight="false" outlineLevel="0" collapsed="false">
      <c r="A55" s="12"/>
      <c r="B55" s="12"/>
      <c r="C55" s="12"/>
      <c r="D55" s="12"/>
      <c r="E55" s="12"/>
      <c r="F55" s="12"/>
      <c r="G55" s="12"/>
      <c r="H55" s="12" t="n">
        <f aca="false">COUNTIFS(Spots!$A:$A,$A55,Spots!$F:$F,"Posted")</f>
        <v>0</v>
      </c>
      <c r="I55" s="20" t="str">
        <f aca="false">IF(N($G55)=0,"",$H55/$G55)</f>
        <v/>
      </c>
      <c r="J55" s="15"/>
      <c r="K55" s="14"/>
    </row>
    <row r="56" customFormat="false" ht="15" hidden="false" customHeight="false" outlineLevel="0" collapsed="false">
      <c r="A56" s="12"/>
      <c r="B56" s="12"/>
      <c r="C56" s="12"/>
      <c r="D56" s="12"/>
      <c r="E56" s="12"/>
      <c r="F56" s="12"/>
      <c r="G56" s="12"/>
      <c r="H56" s="12" t="n">
        <f aca="false">COUNTIFS(Spots!$A:$A,$A56,Spots!$F:$F,"Posted")</f>
        <v>0</v>
      </c>
      <c r="I56" s="20" t="str">
        <f aca="false">IF(N($G56)=0,"",$H56/$G56)</f>
        <v/>
      </c>
      <c r="J56" s="15"/>
      <c r="K56" s="14"/>
    </row>
    <row r="57" customFormat="false" ht="15" hidden="false" customHeight="false" outlineLevel="0" collapsed="false">
      <c r="A57" s="12"/>
      <c r="B57" s="12"/>
      <c r="C57" s="12"/>
      <c r="D57" s="12"/>
      <c r="E57" s="12"/>
      <c r="F57" s="12"/>
      <c r="G57" s="12"/>
      <c r="H57" s="12" t="n">
        <f aca="false">COUNTIFS(Spots!$A:$A,$A57,Spots!$F:$F,"Posted")</f>
        <v>0</v>
      </c>
      <c r="I57" s="20" t="str">
        <f aca="false">IF(N($G57)=0,"",$H57/$G57)</f>
        <v/>
      </c>
      <c r="J57" s="15"/>
      <c r="K57" s="14"/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2"/>
      <c r="G58" s="12"/>
      <c r="H58" s="12" t="n">
        <f aca="false">COUNTIFS(Spots!$A:$A,$A58,Spots!$F:$F,"Posted")</f>
        <v>0</v>
      </c>
      <c r="I58" s="20" t="str">
        <f aca="false">IF(N($G58)=0,"",$H58/$G58)</f>
        <v/>
      </c>
      <c r="J58" s="15"/>
      <c r="K58" s="14"/>
    </row>
    <row r="59" customFormat="false" ht="15" hidden="false" customHeight="false" outlineLevel="0" collapsed="false">
      <c r="A59" s="12"/>
      <c r="B59" s="12"/>
      <c r="C59" s="12"/>
      <c r="D59" s="12"/>
      <c r="E59" s="12"/>
      <c r="F59" s="12"/>
      <c r="G59" s="12"/>
      <c r="H59" s="12" t="n">
        <f aca="false">COUNTIFS(Spots!$A:$A,$A59,Spots!$F:$F,"Posted")</f>
        <v>0</v>
      </c>
      <c r="I59" s="20" t="str">
        <f aca="false">IF(N($G59)=0,"",$H59/$G59)</f>
        <v/>
      </c>
      <c r="J59" s="15"/>
      <c r="K59" s="14"/>
    </row>
    <row r="60" customFormat="false" ht="15" hidden="false" customHeight="false" outlineLevel="0" collapsed="false">
      <c r="A60" s="12"/>
      <c r="B60" s="12"/>
      <c r="C60" s="12"/>
      <c r="D60" s="12"/>
      <c r="E60" s="12"/>
      <c r="F60" s="12"/>
      <c r="G60" s="12"/>
      <c r="H60" s="12" t="n">
        <f aca="false">COUNTIFS(Spots!$A:$A,$A60,Spots!$F:$F,"Posted")</f>
        <v>0</v>
      </c>
      <c r="I60" s="20" t="str">
        <f aca="false">IF(N($G60)=0,"",$H60/$G60)</f>
        <v/>
      </c>
      <c r="J60" s="15"/>
      <c r="K60" s="14"/>
    </row>
    <row r="61" customFormat="false" ht="15" hidden="false" customHeight="false" outlineLevel="0" collapsed="false">
      <c r="A61" s="12"/>
      <c r="B61" s="12"/>
      <c r="C61" s="12"/>
      <c r="D61" s="12"/>
      <c r="E61" s="12"/>
      <c r="F61" s="12"/>
      <c r="G61" s="12"/>
      <c r="H61" s="12" t="n">
        <f aca="false">COUNTIFS(Spots!$A:$A,$A61,Spots!$F:$F,"Posted")</f>
        <v>0</v>
      </c>
      <c r="I61" s="20" t="str">
        <f aca="false">IF(N($G61)=0,"",$H61/$G61)</f>
        <v/>
      </c>
      <c r="J61" s="15"/>
      <c r="K61" s="14"/>
    </row>
  </sheetData>
  <autoFilter ref="A1:K61"/>
  <dataValidations count="1">
    <dataValidation allowBlank="true" errorStyle="stop" operator="between" showDropDown="false" showErrorMessage="false" showInputMessage="false" sqref="F2:F61" type="list">
      <formula1>Ref!$E$4:$E$8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8"/>
    <col collapsed="false" customWidth="true" hidden="false" outlineLevel="0" max="3" min="3" style="0" width="22"/>
    <col collapsed="false" customWidth="true" hidden="false" outlineLevel="0" max="4" min="4" style="0" width="17"/>
    <col collapsed="false" customWidth="true" hidden="false" outlineLevel="0" max="5" min="5" style="0" width="30"/>
    <col collapsed="false" customWidth="true" hidden="false" outlineLevel="0" max="6" min="6" style="0" width="20"/>
    <col collapsed="false" customWidth="true" hidden="false" outlineLevel="0" max="7" min="7" style="0" width="12"/>
    <col collapsed="false" customWidth="true" hidden="false" outlineLevel="0" max="8" min="8" style="0" width="19"/>
    <col collapsed="false" customWidth="true" hidden="false" outlineLevel="0" max="9" min="9" style="0" width="30"/>
    <col collapsed="false" customWidth="true" hidden="false" outlineLevel="0" max="11" min="11" style="0" width="26"/>
  </cols>
  <sheetData>
    <row r="1" customFormat="false" ht="21.75" hidden="false" customHeight="true" outlineLevel="0" collapsed="false">
      <c r="A1" s="19" t="s">
        <v>26</v>
      </c>
      <c r="B1" s="19" t="s">
        <v>36</v>
      </c>
      <c r="C1" s="19" t="s">
        <v>71</v>
      </c>
      <c r="D1" s="19" t="s">
        <v>72</v>
      </c>
      <c r="E1" s="19" t="s">
        <v>73</v>
      </c>
      <c r="F1" s="19" t="s">
        <v>74</v>
      </c>
      <c r="G1" s="19" t="s">
        <v>75</v>
      </c>
      <c r="H1" s="19" t="s">
        <v>76</v>
      </c>
      <c r="I1" s="19" t="s">
        <v>67</v>
      </c>
      <c r="K1" s="22" t="s">
        <v>77</v>
      </c>
    </row>
    <row r="2" customFormat="false" ht="24.45" hidden="false" customHeight="false" outlineLevel="0" collapsed="false">
      <c r="A2" s="12" t="s">
        <v>40</v>
      </c>
      <c r="B2" s="14" t="s">
        <v>78</v>
      </c>
      <c r="C2" s="12" t="s">
        <v>79</v>
      </c>
      <c r="D2" s="12" t="s">
        <v>80</v>
      </c>
      <c r="E2" s="14" t="s">
        <v>81</v>
      </c>
      <c r="F2" s="12" t="s">
        <v>42</v>
      </c>
      <c r="G2" s="12" t="n">
        <f aca="false">COUNTIF(Spots!$C:$C,$A2)</f>
        <v>1</v>
      </c>
      <c r="H2" s="13" t="str">
        <f aca="false">IFERROR(AVERAGEIFS(Spots!$K:$K,Spots!$C:$C,$A2,Spots!$F:$F,"Posted"),"")</f>
        <v/>
      </c>
      <c r="I2" s="14"/>
      <c r="K2" s="23" t="n">
        <f aca="false">COUNTA($A$2:$A$400)-COUNTIF($G$2:$G$400,"&gt;0")</f>
        <v>3</v>
      </c>
    </row>
    <row r="3" customFormat="false" ht="15" hidden="false" customHeight="false" outlineLevel="0" collapsed="false">
      <c r="A3" s="12" t="s">
        <v>47</v>
      </c>
      <c r="B3" s="14" t="s">
        <v>82</v>
      </c>
      <c r="C3" s="12" t="s">
        <v>79</v>
      </c>
      <c r="D3" s="12" t="s">
        <v>83</v>
      </c>
      <c r="E3" s="14" t="s">
        <v>84</v>
      </c>
      <c r="F3" s="12" t="s">
        <v>42</v>
      </c>
      <c r="G3" s="12" t="n">
        <f aca="false">COUNTIF(Spots!$C:$C,$A3)</f>
        <v>1</v>
      </c>
      <c r="H3" s="13" t="str">
        <f aca="false">IFERROR(AVERAGEIFS(Spots!$K:$K,Spots!$C:$C,$A3,Spots!$F:$F,"Posted"),"")</f>
        <v/>
      </c>
      <c r="I3" s="14"/>
      <c r="K3" s="7" t="s">
        <v>85</v>
      </c>
    </row>
    <row r="4" customFormat="false" ht="15" hidden="false" customHeight="false" outlineLevel="0" collapsed="false">
      <c r="A4" s="12" t="s">
        <v>53</v>
      </c>
      <c r="B4" s="14" t="s">
        <v>86</v>
      </c>
      <c r="C4" s="12" t="s">
        <v>87</v>
      </c>
      <c r="D4" s="12" t="s">
        <v>80</v>
      </c>
      <c r="E4" s="14" t="s">
        <v>88</v>
      </c>
      <c r="F4" s="12" t="s">
        <v>55</v>
      </c>
      <c r="G4" s="12" t="n">
        <f aca="false">COUNTIF(Spots!$C:$C,$A4)</f>
        <v>1</v>
      </c>
      <c r="H4" s="13" t="str">
        <f aca="false">IFERROR(AVERAGEIFS(Spots!$K:$K,Spots!$C:$C,$A4,Spots!$F:$F,"Posted"),"")</f>
        <v/>
      </c>
      <c r="I4" s="14"/>
    </row>
    <row r="5" customFormat="false" ht="15" hidden="false" customHeight="false" outlineLevel="0" collapsed="false">
      <c r="A5" s="12" t="s">
        <v>89</v>
      </c>
      <c r="B5" s="14" t="s">
        <v>90</v>
      </c>
      <c r="C5" s="12" t="s">
        <v>87</v>
      </c>
      <c r="D5" s="12" t="s">
        <v>91</v>
      </c>
      <c r="E5" s="14" t="s">
        <v>92</v>
      </c>
      <c r="F5" s="12" t="s">
        <v>55</v>
      </c>
      <c r="G5" s="12" t="n">
        <f aca="false">COUNTIF(Spots!$C:$C,$A5)</f>
        <v>0</v>
      </c>
      <c r="H5" s="13" t="str">
        <f aca="false">IFERROR(AVERAGEIFS(Spots!$K:$K,Spots!$C:$C,$A5,Spots!$F:$F,"Posted"),"")</f>
        <v/>
      </c>
      <c r="I5" s="14"/>
    </row>
    <row r="6" customFormat="false" ht="15" hidden="false" customHeight="false" outlineLevel="0" collapsed="false">
      <c r="A6" s="12" t="s">
        <v>93</v>
      </c>
      <c r="B6" s="14" t="s">
        <v>94</v>
      </c>
      <c r="C6" s="12" t="s">
        <v>79</v>
      </c>
      <c r="D6" s="12" t="s">
        <v>91</v>
      </c>
      <c r="E6" s="14" t="s">
        <v>95</v>
      </c>
      <c r="F6" s="12" t="s">
        <v>49</v>
      </c>
      <c r="G6" s="12" t="n">
        <f aca="false">COUNTIF(Spots!$C:$C,$A6)</f>
        <v>0</v>
      </c>
      <c r="H6" s="13" t="str">
        <f aca="false">IFERROR(AVERAGEIFS(Spots!$K:$K,Spots!$C:$C,$A6,Spots!$F:$F,"Posted"),"")</f>
        <v/>
      </c>
      <c r="I6" s="14"/>
    </row>
    <row r="7" customFormat="false" ht="23.85" hidden="false" customHeight="false" outlineLevel="0" collapsed="false">
      <c r="A7" s="12" t="s">
        <v>96</v>
      </c>
      <c r="B7" s="14" t="s">
        <v>97</v>
      </c>
      <c r="C7" s="12" t="s">
        <v>79</v>
      </c>
      <c r="D7" s="12" t="s">
        <v>91</v>
      </c>
      <c r="E7" s="14" t="s">
        <v>98</v>
      </c>
      <c r="F7" s="12" t="s">
        <v>42</v>
      </c>
      <c r="G7" s="12" t="n">
        <f aca="false">COUNTIF(Spots!$C:$C,$A7)</f>
        <v>0</v>
      </c>
      <c r="H7" s="13" t="str">
        <f aca="false">IFERROR(AVERAGEIFS(Spots!$K:$K,Spots!$C:$C,$A7,Spots!$F:$F,"Posted"),"")</f>
        <v/>
      </c>
      <c r="I7" s="14"/>
    </row>
    <row r="8" customFormat="false" ht="15" hidden="false" customHeight="false" outlineLevel="0" collapsed="false">
      <c r="A8" s="12"/>
      <c r="B8" s="14"/>
      <c r="C8" s="12"/>
      <c r="D8" s="12"/>
      <c r="E8" s="14"/>
      <c r="F8" s="12"/>
      <c r="G8" s="12" t="n">
        <f aca="false">COUNTIF(Spots!$C:$C,$A8)</f>
        <v>0</v>
      </c>
      <c r="H8" s="13" t="str">
        <f aca="false">IFERROR(AVERAGEIFS(Spots!$K:$K,Spots!$C:$C,$A8,Spots!$F:$F,"Posted"),"")</f>
        <v/>
      </c>
      <c r="I8" s="14"/>
    </row>
    <row r="9" customFormat="false" ht="15" hidden="false" customHeight="false" outlineLevel="0" collapsed="false">
      <c r="A9" s="12"/>
      <c r="B9" s="24" t="s">
        <v>99</v>
      </c>
      <c r="C9" s="12"/>
      <c r="D9" s="12"/>
      <c r="E9" s="14"/>
      <c r="F9" s="12"/>
      <c r="G9" s="12" t="n">
        <f aca="false">COUNTIF(Spots!$C:$C,$A9)</f>
        <v>0</v>
      </c>
      <c r="H9" s="13" t="str">
        <f aca="false">IFERROR(AVERAGEIFS(Spots!$K:$K,Spots!$C:$C,$A9,Spots!$F:$F,"Posted"),"")</f>
        <v/>
      </c>
      <c r="I9" s="14"/>
    </row>
    <row r="10" customFormat="false" ht="15" hidden="false" customHeight="false" outlineLevel="0" collapsed="false">
      <c r="A10" s="12"/>
      <c r="B10" s="14"/>
      <c r="C10" s="12"/>
      <c r="D10" s="12"/>
      <c r="E10" s="14"/>
      <c r="F10" s="12"/>
      <c r="G10" s="12" t="n">
        <f aca="false">COUNTIF(Spots!$C:$C,$A10)</f>
        <v>0</v>
      </c>
      <c r="H10" s="13" t="str">
        <f aca="false">IFERROR(AVERAGEIFS(Spots!$K:$K,Spots!$C:$C,$A10,Spots!$F:$F,"Posted"),"")</f>
        <v/>
      </c>
      <c r="I10" s="14"/>
    </row>
    <row r="11" customFormat="false" ht="15" hidden="false" customHeight="false" outlineLevel="0" collapsed="false">
      <c r="A11" s="12"/>
      <c r="B11" s="14"/>
      <c r="C11" s="12"/>
      <c r="D11" s="12"/>
      <c r="E11" s="14"/>
      <c r="F11" s="12"/>
      <c r="G11" s="12" t="n">
        <f aca="false">COUNTIF(Spots!$C:$C,$A11)</f>
        <v>0</v>
      </c>
      <c r="H11" s="13" t="str">
        <f aca="false">IFERROR(AVERAGEIFS(Spots!$K:$K,Spots!$C:$C,$A11,Spots!$F:$F,"Posted"),"")</f>
        <v/>
      </c>
      <c r="I11" s="14"/>
    </row>
    <row r="12" customFormat="false" ht="15" hidden="false" customHeight="false" outlineLevel="0" collapsed="false">
      <c r="A12" s="12"/>
      <c r="B12" s="14"/>
      <c r="C12" s="12"/>
      <c r="D12" s="12"/>
      <c r="E12" s="14"/>
      <c r="F12" s="12"/>
      <c r="G12" s="12" t="n">
        <f aca="false">COUNTIF(Spots!$C:$C,$A12)</f>
        <v>0</v>
      </c>
      <c r="H12" s="13" t="str">
        <f aca="false">IFERROR(AVERAGEIFS(Spots!$K:$K,Spots!$C:$C,$A12,Spots!$F:$F,"Posted"),"")</f>
        <v/>
      </c>
      <c r="I12" s="14"/>
    </row>
    <row r="13" customFormat="false" ht="15" hidden="false" customHeight="false" outlineLevel="0" collapsed="false">
      <c r="A13" s="12"/>
      <c r="B13" s="14"/>
      <c r="C13" s="12"/>
      <c r="D13" s="12"/>
      <c r="E13" s="14"/>
      <c r="F13" s="12"/>
      <c r="G13" s="12" t="n">
        <f aca="false">COUNTIF(Spots!$C:$C,$A13)</f>
        <v>0</v>
      </c>
      <c r="H13" s="13" t="str">
        <f aca="false">IFERROR(AVERAGEIFS(Spots!$K:$K,Spots!$C:$C,$A13,Spots!$F:$F,"Posted"),"")</f>
        <v/>
      </c>
      <c r="I13" s="14"/>
    </row>
    <row r="14" customFormat="false" ht="15" hidden="false" customHeight="false" outlineLevel="0" collapsed="false">
      <c r="A14" s="12"/>
      <c r="B14" s="14"/>
      <c r="C14" s="12"/>
      <c r="D14" s="12"/>
      <c r="E14" s="14"/>
      <c r="F14" s="12"/>
      <c r="G14" s="12" t="n">
        <f aca="false">COUNTIF(Spots!$C:$C,$A14)</f>
        <v>0</v>
      </c>
      <c r="H14" s="13" t="str">
        <f aca="false">IFERROR(AVERAGEIFS(Spots!$K:$K,Spots!$C:$C,$A14,Spots!$F:$F,"Posted"),"")</f>
        <v/>
      </c>
      <c r="I14" s="14"/>
    </row>
    <row r="15" customFormat="false" ht="15" hidden="false" customHeight="false" outlineLevel="0" collapsed="false">
      <c r="A15" s="12"/>
      <c r="B15" s="14"/>
      <c r="C15" s="12"/>
      <c r="D15" s="12"/>
      <c r="E15" s="14"/>
      <c r="F15" s="12"/>
      <c r="G15" s="12" t="n">
        <f aca="false">COUNTIF(Spots!$C:$C,$A15)</f>
        <v>0</v>
      </c>
      <c r="H15" s="13" t="str">
        <f aca="false">IFERROR(AVERAGEIFS(Spots!$K:$K,Spots!$C:$C,$A15,Spots!$F:$F,"Posted"),"")</f>
        <v/>
      </c>
      <c r="I15" s="14"/>
    </row>
    <row r="16" customFormat="false" ht="15" hidden="false" customHeight="false" outlineLevel="0" collapsed="false">
      <c r="A16" s="12"/>
      <c r="B16" s="14"/>
      <c r="C16" s="12"/>
      <c r="D16" s="12"/>
      <c r="E16" s="14"/>
      <c r="F16" s="12"/>
      <c r="G16" s="12" t="n">
        <f aca="false">COUNTIF(Spots!$C:$C,$A16)</f>
        <v>0</v>
      </c>
      <c r="H16" s="13" t="str">
        <f aca="false">IFERROR(AVERAGEIFS(Spots!$K:$K,Spots!$C:$C,$A16,Spots!$F:$F,"Posted"),"")</f>
        <v/>
      </c>
      <c r="I16" s="14"/>
    </row>
    <row r="17" customFormat="false" ht="15" hidden="false" customHeight="false" outlineLevel="0" collapsed="false">
      <c r="A17" s="12"/>
      <c r="B17" s="14"/>
      <c r="C17" s="12"/>
      <c r="D17" s="12"/>
      <c r="E17" s="14"/>
      <c r="F17" s="12"/>
      <c r="G17" s="12" t="n">
        <f aca="false">COUNTIF(Spots!$C:$C,$A17)</f>
        <v>0</v>
      </c>
      <c r="H17" s="13" t="str">
        <f aca="false">IFERROR(AVERAGEIFS(Spots!$K:$K,Spots!$C:$C,$A17,Spots!$F:$F,"Posted"),"")</f>
        <v/>
      </c>
      <c r="I17" s="14"/>
    </row>
    <row r="18" customFormat="false" ht="15" hidden="false" customHeight="false" outlineLevel="0" collapsed="false">
      <c r="A18" s="12"/>
      <c r="B18" s="14"/>
      <c r="C18" s="12"/>
      <c r="D18" s="12"/>
      <c r="E18" s="14"/>
      <c r="F18" s="12"/>
      <c r="G18" s="12" t="n">
        <f aca="false">COUNTIF(Spots!$C:$C,$A18)</f>
        <v>0</v>
      </c>
      <c r="H18" s="13" t="str">
        <f aca="false">IFERROR(AVERAGEIFS(Spots!$K:$K,Spots!$C:$C,$A18,Spots!$F:$F,"Posted"),"")</f>
        <v/>
      </c>
      <c r="I18" s="14"/>
    </row>
    <row r="19" customFormat="false" ht="15" hidden="false" customHeight="false" outlineLevel="0" collapsed="false">
      <c r="A19" s="12"/>
      <c r="B19" s="14"/>
      <c r="C19" s="12"/>
      <c r="D19" s="12"/>
      <c r="E19" s="14"/>
      <c r="F19" s="12"/>
      <c r="G19" s="12" t="n">
        <f aca="false">COUNTIF(Spots!$C:$C,$A19)</f>
        <v>0</v>
      </c>
      <c r="H19" s="13" t="str">
        <f aca="false">IFERROR(AVERAGEIFS(Spots!$K:$K,Spots!$C:$C,$A19,Spots!$F:$F,"Posted"),"")</f>
        <v/>
      </c>
      <c r="I19" s="14"/>
    </row>
    <row r="20" customFormat="false" ht="15" hidden="false" customHeight="false" outlineLevel="0" collapsed="false">
      <c r="A20" s="12"/>
      <c r="B20" s="14"/>
      <c r="C20" s="12"/>
      <c r="D20" s="12"/>
      <c r="E20" s="14"/>
      <c r="F20" s="12"/>
      <c r="G20" s="12" t="n">
        <f aca="false">COUNTIF(Spots!$C:$C,$A20)</f>
        <v>0</v>
      </c>
      <c r="H20" s="13" t="str">
        <f aca="false">IFERROR(AVERAGEIFS(Spots!$K:$K,Spots!$C:$C,$A20,Spots!$F:$F,"Posted"),"")</f>
        <v/>
      </c>
      <c r="I20" s="14"/>
    </row>
    <row r="21" customFormat="false" ht="15" hidden="false" customHeight="false" outlineLevel="0" collapsed="false">
      <c r="A21" s="12"/>
      <c r="B21" s="14"/>
      <c r="C21" s="12"/>
      <c r="D21" s="12"/>
      <c r="E21" s="14"/>
      <c r="F21" s="12"/>
      <c r="G21" s="12" t="n">
        <f aca="false">COUNTIF(Spots!$C:$C,$A21)</f>
        <v>0</v>
      </c>
      <c r="H21" s="13" t="str">
        <f aca="false">IFERROR(AVERAGEIFS(Spots!$K:$K,Spots!$C:$C,$A21,Spots!$F:$F,"Posted"),"")</f>
        <v/>
      </c>
      <c r="I21" s="14"/>
    </row>
    <row r="22" customFormat="false" ht="15" hidden="false" customHeight="false" outlineLevel="0" collapsed="false">
      <c r="A22" s="12"/>
      <c r="B22" s="14"/>
      <c r="C22" s="12"/>
      <c r="D22" s="12"/>
      <c r="E22" s="14"/>
      <c r="F22" s="12"/>
      <c r="G22" s="12" t="n">
        <f aca="false">COUNTIF(Spots!$C:$C,$A22)</f>
        <v>0</v>
      </c>
      <c r="H22" s="13" t="str">
        <f aca="false">IFERROR(AVERAGEIFS(Spots!$K:$K,Spots!$C:$C,$A22,Spots!$F:$F,"Posted"),"")</f>
        <v/>
      </c>
      <c r="I22" s="14"/>
    </row>
    <row r="23" customFormat="false" ht="15" hidden="false" customHeight="false" outlineLevel="0" collapsed="false">
      <c r="A23" s="12"/>
      <c r="B23" s="14"/>
      <c r="C23" s="12"/>
      <c r="D23" s="12"/>
      <c r="E23" s="14"/>
      <c r="F23" s="12"/>
      <c r="G23" s="12" t="n">
        <f aca="false">COUNTIF(Spots!$C:$C,$A23)</f>
        <v>0</v>
      </c>
      <c r="H23" s="13" t="str">
        <f aca="false">IFERROR(AVERAGEIFS(Spots!$K:$K,Spots!$C:$C,$A23,Spots!$F:$F,"Posted"),"")</f>
        <v/>
      </c>
      <c r="I23" s="14"/>
    </row>
    <row r="24" customFormat="false" ht="15" hidden="false" customHeight="false" outlineLevel="0" collapsed="false">
      <c r="A24" s="12"/>
      <c r="B24" s="14"/>
      <c r="C24" s="12"/>
      <c r="D24" s="12"/>
      <c r="E24" s="14"/>
      <c r="F24" s="12"/>
      <c r="G24" s="12" t="n">
        <f aca="false">COUNTIF(Spots!$C:$C,$A24)</f>
        <v>0</v>
      </c>
      <c r="H24" s="13" t="str">
        <f aca="false">IFERROR(AVERAGEIFS(Spots!$K:$K,Spots!$C:$C,$A24,Spots!$F:$F,"Posted"),"")</f>
        <v/>
      </c>
      <c r="I24" s="14"/>
    </row>
    <row r="25" customFormat="false" ht="15" hidden="false" customHeight="false" outlineLevel="0" collapsed="false">
      <c r="A25" s="12"/>
      <c r="B25" s="14"/>
      <c r="C25" s="12"/>
      <c r="D25" s="12"/>
      <c r="E25" s="14"/>
      <c r="F25" s="12"/>
      <c r="G25" s="12" t="n">
        <f aca="false">COUNTIF(Spots!$C:$C,$A25)</f>
        <v>0</v>
      </c>
      <c r="H25" s="13" t="str">
        <f aca="false">IFERROR(AVERAGEIFS(Spots!$K:$K,Spots!$C:$C,$A25,Spots!$F:$F,"Posted"),"")</f>
        <v/>
      </c>
      <c r="I25" s="14"/>
    </row>
    <row r="26" customFormat="false" ht="15" hidden="false" customHeight="false" outlineLevel="0" collapsed="false">
      <c r="A26" s="12"/>
      <c r="B26" s="14"/>
      <c r="C26" s="12"/>
      <c r="D26" s="12"/>
      <c r="E26" s="14"/>
      <c r="F26" s="12"/>
      <c r="G26" s="12" t="n">
        <f aca="false">COUNTIF(Spots!$C:$C,$A26)</f>
        <v>0</v>
      </c>
      <c r="H26" s="13" t="str">
        <f aca="false">IFERROR(AVERAGEIFS(Spots!$K:$K,Spots!$C:$C,$A26,Spots!$F:$F,"Posted"),"")</f>
        <v/>
      </c>
      <c r="I26" s="14"/>
    </row>
    <row r="27" customFormat="false" ht="15" hidden="false" customHeight="false" outlineLevel="0" collapsed="false">
      <c r="A27" s="12"/>
      <c r="B27" s="14"/>
      <c r="C27" s="12"/>
      <c r="D27" s="12"/>
      <c r="E27" s="14"/>
      <c r="F27" s="12"/>
      <c r="G27" s="12" t="n">
        <f aca="false">COUNTIF(Spots!$C:$C,$A27)</f>
        <v>0</v>
      </c>
      <c r="H27" s="13" t="str">
        <f aca="false">IFERROR(AVERAGEIFS(Spots!$K:$K,Spots!$C:$C,$A27,Spots!$F:$F,"Posted"),"")</f>
        <v/>
      </c>
      <c r="I27" s="14"/>
    </row>
    <row r="28" customFormat="false" ht="15" hidden="false" customHeight="false" outlineLevel="0" collapsed="false">
      <c r="A28" s="12"/>
      <c r="B28" s="14"/>
      <c r="C28" s="12"/>
      <c r="D28" s="12"/>
      <c r="E28" s="14"/>
      <c r="F28" s="12"/>
      <c r="G28" s="12" t="n">
        <f aca="false">COUNTIF(Spots!$C:$C,$A28)</f>
        <v>0</v>
      </c>
      <c r="H28" s="13" t="str">
        <f aca="false">IFERROR(AVERAGEIFS(Spots!$K:$K,Spots!$C:$C,$A28,Spots!$F:$F,"Posted"),"")</f>
        <v/>
      </c>
      <c r="I28" s="14"/>
    </row>
    <row r="29" customFormat="false" ht="15" hidden="false" customHeight="false" outlineLevel="0" collapsed="false">
      <c r="A29" s="12"/>
      <c r="B29" s="14"/>
      <c r="C29" s="12"/>
      <c r="D29" s="12"/>
      <c r="E29" s="14"/>
      <c r="F29" s="12"/>
      <c r="G29" s="12" t="n">
        <f aca="false">COUNTIF(Spots!$C:$C,$A29)</f>
        <v>0</v>
      </c>
      <c r="H29" s="13" t="str">
        <f aca="false">IFERROR(AVERAGEIFS(Spots!$K:$K,Spots!$C:$C,$A29,Spots!$F:$F,"Posted"),"")</f>
        <v/>
      </c>
      <c r="I29" s="14"/>
    </row>
    <row r="30" customFormat="false" ht="15" hidden="false" customHeight="false" outlineLevel="0" collapsed="false">
      <c r="A30" s="12"/>
      <c r="B30" s="14"/>
      <c r="C30" s="12"/>
      <c r="D30" s="12"/>
      <c r="E30" s="14"/>
      <c r="F30" s="12"/>
      <c r="G30" s="12" t="n">
        <f aca="false">COUNTIF(Spots!$C:$C,$A30)</f>
        <v>0</v>
      </c>
      <c r="H30" s="13" t="str">
        <f aca="false">IFERROR(AVERAGEIFS(Spots!$K:$K,Spots!$C:$C,$A30,Spots!$F:$F,"Posted"),"")</f>
        <v/>
      </c>
      <c r="I30" s="14"/>
    </row>
    <row r="31" customFormat="false" ht="15" hidden="false" customHeight="false" outlineLevel="0" collapsed="false">
      <c r="A31" s="12"/>
      <c r="B31" s="14"/>
      <c r="C31" s="12"/>
      <c r="D31" s="12"/>
      <c r="E31" s="14"/>
      <c r="F31" s="12"/>
      <c r="G31" s="12" t="n">
        <f aca="false">COUNTIF(Spots!$C:$C,$A31)</f>
        <v>0</v>
      </c>
      <c r="H31" s="13" t="str">
        <f aca="false">IFERROR(AVERAGEIFS(Spots!$K:$K,Spots!$C:$C,$A31,Spots!$F:$F,"Posted"),"")</f>
        <v/>
      </c>
      <c r="I31" s="14"/>
    </row>
    <row r="32" customFormat="false" ht="15" hidden="false" customHeight="false" outlineLevel="0" collapsed="false">
      <c r="A32" s="12"/>
      <c r="B32" s="14"/>
      <c r="C32" s="12"/>
      <c r="D32" s="12"/>
      <c r="E32" s="14"/>
      <c r="F32" s="12"/>
      <c r="G32" s="12" t="n">
        <f aca="false">COUNTIF(Spots!$C:$C,$A32)</f>
        <v>0</v>
      </c>
      <c r="H32" s="13" t="str">
        <f aca="false">IFERROR(AVERAGEIFS(Spots!$K:$K,Spots!$C:$C,$A32,Spots!$F:$F,"Posted"),"")</f>
        <v/>
      </c>
      <c r="I32" s="14"/>
    </row>
    <row r="33" customFormat="false" ht="15" hidden="false" customHeight="false" outlineLevel="0" collapsed="false">
      <c r="A33" s="12"/>
      <c r="B33" s="14"/>
      <c r="C33" s="12"/>
      <c r="D33" s="12"/>
      <c r="E33" s="14"/>
      <c r="F33" s="12"/>
      <c r="G33" s="12" t="n">
        <f aca="false">COUNTIF(Spots!$C:$C,$A33)</f>
        <v>0</v>
      </c>
      <c r="H33" s="13" t="str">
        <f aca="false">IFERROR(AVERAGEIFS(Spots!$K:$K,Spots!$C:$C,$A33,Spots!$F:$F,"Posted"),"")</f>
        <v/>
      </c>
      <c r="I33" s="14"/>
    </row>
    <row r="34" customFormat="false" ht="15" hidden="false" customHeight="false" outlineLevel="0" collapsed="false">
      <c r="A34" s="12"/>
      <c r="B34" s="14"/>
      <c r="C34" s="12"/>
      <c r="D34" s="12"/>
      <c r="E34" s="14"/>
      <c r="F34" s="12"/>
      <c r="G34" s="12" t="n">
        <f aca="false">COUNTIF(Spots!$C:$C,$A34)</f>
        <v>0</v>
      </c>
      <c r="H34" s="13" t="str">
        <f aca="false">IFERROR(AVERAGEIFS(Spots!$K:$K,Spots!$C:$C,$A34,Spots!$F:$F,"Posted"),"")</f>
        <v/>
      </c>
      <c r="I34" s="14"/>
    </row>
    <row r="35" customFormat="false" ht="15" hidden="false" customHeight="false" outlineLevel="0" collapsed="false">
      <c r="A35" s="12"/>
      <c r="B35" s="14"/>
      <c r="C35" s="12"/>
      <c r="D35" s="12"/>
      <c r="E35" s="14"/>
      <c r="F35" s="12"/>
      <c r="G35" s="12" t="n">
        <f aca="false">COUNTIF(Spots!$C:$C,$A35)</f>
        <v>0</v>
      </c>
      <c r="H35" s="13" t="str">
        <f aca="false">IFERROR(AVERAGEIFS(Spots!$K:$K,Spots!$C:$C,$A35,Spots!$F:$F,"Posted"),"")</f>
        <v/>
      </c>
      <c r="I35" s="14"/>
    </row>
    <row r="36" customFormat="false" ht="15" hidden="false" customHeight="false" outlineLevel="0" collapsed="false">
      <c r="A36" s="12"/>
      <c r="B36" s="14"/>
      <c r="C36" s="12"/>
      <c r="D36" s="12"/>
      <c r="E36" s="14"/>
      <c r="F36" s="12"/>
      <c r="G36" s="12" t="n">
        <f aca="false">COUNTIF(Spots!$C:$C,$A36)</f>
        <v>0</v>
      </c>
      <c r="H36" s="13" t="str">
        <f aca="false">IFERROR(AVERAGEIFS(Spots!$K:$K,Spots!$C:$C,$A36,Spots!$F:$F,"Posted"),"")</f>
        <v/>
      </c>
      <c r="I36" s="14"/>
    </row>
    <row r="37" customFormat="false" ht="15" hidden="false" customHeight="false" outlineLevel="0" collapsed="false">
      <c r="A37" s="12"/>
      <c r="B37" s="14"/>
      <c r="C37" s="12"/>
      <c r="D37" s="12"/>
      <c r="E37" s="14"/>
      <c r="F37" s="12"/>
      <c r="G37" s="12" t="n">
        <f aca="false">COUNTIF(Spots!$C:$C,$A37)</f>
        <v>0</v>
      </c>
      <c r="H37" s="13" t="str">
        <f aca="false">IFERROR(AVERAGEIFS(Spots!$K:$K,Spots!$C:$C,$A37,Spots!$F:$F,"Posted"),"")</f>
        <v/>
      </c>
      <c r="I37" s="14"/>
    </row>
    <row r="38" customFormat="false" ht="15" hidden="false" customHeight="false" outlineLevel="0" collapsed="false">
      <c r="A38" s="12"/>
      <c r="B38" s="14"/>
      <c r="C38" s="12"/>
      <c r="D38" s="12"/>
      <c r="E38" s="14"/>
      <c r="F38" s="12"/>
      <c r="G38" s="12" t="n">
        <f aca="false">COUNTIF(Spots!$C:$C,$A38)</f>
        <v>0</v>
      </c>
      <c r="H38" s="13" t="str">
        <f aca="false">IFERROR(AVERAGEIFS(Spots!$K:$K,Spots!$C:$C,$A38,Spots!$F:$F,"Posted"),"")</f>
        <v/>
      </c>
      <c r="I38" s="14"/>
    </row>
    <row r="39" customFormat="false" ht="15" hidden="false" customHeight="false" outlineLevel="0" collapsed="false">
      <c r="A39" s="12"/>
      <c r="B39" s="14"/>
      <c r="C39" s="12"/>
      <c r="D39" s="12"/>
      <c r="E39" s="14"/>
      <c r="F39" s="12"/>
      <c r="G39" s="12" t="n">
        <f aca="false">COUNTIF(Spots!$C:$C,$A39)</f>
        <v>0</v>
      </c>
      <c r="H39" s="13" t="str">
        <f aca="false">IFERROR(AVERAGEIFS(Spots!$K:$K,Spots!$C:$C,$A39,Spots!$F:$F,"Posted"),"")</f>
        <v/>
      </c>
      <c r="I39" s="14"/>
    </row>
    <row r="40" customFormat="false" ht="15" hidden="false" customHeight="false" outlineLevel="0" collapsed="false">
      <c r="A40" s="12"/>
      <c r="B40" s="14"/>
      <c r="C40" s="12"/>
      <c r="D40" s="12"/>
      <c r="E40" s="14"/>
      <c r="F40" s="12"/>
      <c r="G40" s="12" t="n">
        <f aca="false">COUNTIF(Spots!$C:$C,$A40)</f>
        <v>0</v>
      </c>
      <c r="H40" s="13" t="str">
        <f aca="false">IFERROR(AVERAGEIFS(Spots!$K:$K,Spots!$C:$C,$A40,Spots!$F:$F,"Posted"),"")</f>
        <v/>
      </c>
      <c r="I40" s="14"/>
    </row>
    <row r="41" customFormat="false" ht="15" hidden="false" customHeight="false" outlineLevel="0" collapsed="false">
      <c r="A41" s="12"/>
      <c r="B41" s="14"/>
      <c r="C41" s="12"/>
      <c r="D41" s="12"/>
      <c r="E41" s="14"/>
      <c r="F41" s="12"/>
      <c r="G41" s="12" t="n">
        <f aca="false">COUNTIF(Spots!$C:$C,$A41)</f>
        <v>0</v>
      </c>
      <c r="H41" s="13" t="str">
        <f aca="false">IFERROR(AVERAGEIFS(Spots!$K:$K,Spots!$C:$C,$A41,Spots!$F:$F,"Posted"),"")</f>
        <v/>
      </c>
      <c r="I41" s="14"/>
    </row>
    <row r="42" customFormat="false" ht="15" hidden="false" customHeight="false" outlineLevel="0" collapsed="false">
      <c r="A42" s="12"/>
      <c r="B42" s="14"/>
      <c r="C42" s="12"/>
      <c r="D42" s="12"/>
      <c r="E42" s="14"/>
      <c r="F42" s="12"/>
      <c r="G42" s="12" t="n">
        <f aca="false">COUNTIF(Spots!$C:$C,$A42)</f>
        <v>0</v>
      </c>
      <c r="H42" s="13" t="str">
        <f aca="false">IFERROR(AVERAGEIFS(Spots!$K:$K,Spots!$C:$C,$A42,Spots!$F:$F,"Posted"),"")</f>
        <v/>
      </c>
      <c r="I42" s="14"/>
    </row>
    <row r="43" customFormat="false" ht="15" hidden="false" customHeight="false" outlineLevel="0" collapsed="false">
      <c r="A43" s="12"/>
      <c r="B43" s="14"/>
      <c r="C43" s="12"/>
      <c r="D43" s="12"/>
      <c r="E43" s="14"/>
      <c r="F43" s="12"/>
      <c r="G43" s="12" t="n">
        <f aca="false">COUNTIF(Spots!$C:$C,$A43)</f>
        <v>0</v>
      </c>
      <c r="H43" s="13" t="str">
        <f aca="false">IFERROR(AVERAGEIFS(Spots!$K:$K,Spots!$C:$C,$A43,Spots!$F:$F,"Posted"),"")</f>
        <v/>
      </c>
      <c r="I43" s="14"/>
    </row>
    <row r="44" customFormat="false" ht="15" hidden="false" customHeight="false" outlineLevel="0" collapsed="false">
      <c r="A44" s="12"/>
      <c r="B44" s="14"/>
      <c r="C44" s="12"/>
      <c r="D44" s="12"/>
      <c r="E44" s="14"/>
      <c r="F44" s="12"/>
      <c r="G44" s="12" t="n">
        <f aca="false">COUNTIF(Spots!$C:$C,$A44)</f>
        <v>0</v>
      </c>
      <c r="H44" s="13" t="str">
        <f aca="false">IFERROR(AVERAGEIFS(Spots!$K:$K,Spots!$C:$C,$A44,Spots!$F:$F,"Posted"),"")</f>
        <v/>
      </c>
      <c r="I44" s="14"/>
    </row>
    <row r="45" customFormat="false" ht="15" hidden="false" customHeight="false" outlineLevel="0" collapsed="false">
      <c r="A45" s="12"/>
      <c r="B45" s="14"/>
      <c r="C45" s="12"/>
      <c r="D45" s="12"/>
      <c r="E45" s="14"/>
      <c r="F45" s="12"/>
      <c r="G45" s="12" t="n">
        <f aca="false">COUNTIF(Spots!$C:$C,$A45)</f>
        <v>0</v>
      </c>
      <c r="H45" s="13" t="str">
        <f aca="false">IFERROR(AVERAGEIFS(Spots!$K:$K,Spots!$C:$C,$A45,Spots!$F:$F,"Posted"),"")</f>
        <v/>
      </c>
      <c r="I45" s="14"/>
    </row>
    <row r="46" customFormat="false" ht="15" hidden="false" customHeight="false" outlineLevel="0" collapsed="false">
      <c r="A46" s="12"/>
      <c r="B46" s="14"/>
      <c r="C46" s="12"/>
      <c r="D46" s="12"/>
      <c r="E46" s="14"/>
      <c r="F46" s="12"/>
      <c r="G46" s="12" t="n">
        <f aca="false">COUNTIF(Spots!$C:$C,$A46)</f>
        <v>0</v>
      </c>
      <c r="H46" s="13" t="str">
        <f aca="false">IFERROR(AVERAGEIFS(Spots!$K:$K,Spots!$C:$C,$A46,Spots!$F:$F,"Posted"),"")</f>
        <v/>
      </c>
      <c r="I46" s="14"/>
    </row>
    <row r="47" customFormat="false" ht="15" hidden="false" customHeight="false" outlineLevel="0" collapsed="false">
      <c r="A47" s="12"/>
      <c r="B47" s="14"/>
      <c r="C47" s="12"/>
      <c r="D47" s="12"/>
      <c r="E47" s="14"/>
      <c r="F47" s="12"/>
      <c r="G47" s="12" t="n">
        <f aca="false">COUNTIF(Spots!$C:$C,$A47)</f>
        <v>0</v>
      </c>
      <c r="H47" s="13" t="str">
        <f aca="false">IFERROR(AVERAGEIFS(Spots!$K:$K,Spots!$C:$C,$A47,Spots!$F:$F,"Posted"),"")</f>
        <v/>
      </c>
      <c r="I47" s="14"/>
    </row>
    <row r="48" customFormat="false" ht="15" hidden="false" customHeight="false" outlineLevel="0" collapsed="false">
      <c r="A48" s="12"/>
      <c r="B48" s="14"/>
      <c r="C48" s="12"/>
      <c r="D48" s="12"/>
      <c r="E48" s="14"/>
      <c r="F48" s="12"/>
      <c r="G48" s="12" t="n">
        <f aca="false">COUNTIF(Spots!$C:$C,$A48)</f>
        <v>0</v>
      </c>
      <c r="H48" s="13" t="str">
        <f aca="false">IFERROR(AVERAGEIFS(Spots!$K:$K,Spots!$C:$C,$A48,Spots!$F:$F,"Posted"),"")</f>
        <v/>
      </c>
      <c r="I48" s="14"/>
    </row>
    <row r="49" customFormat="false" ht="15" hidden="false" customHeight="false" outlineLevel="0" collapsed="false">
      <c r="A49" s="12"/>
      <c r="B49" s="14"/>
      <c r="C49" s="12"/>
      <c r="D49" s="12"/>
      <c r="E49" s="14"/>
      <c r="F49" s="12"/>
      <c r="G49" s="12" t="n">
        <f aca="false">COUNTIF(Spots!$C:$C,$A49)</f>
        <v>0</v>
      </c>
      <c r="H49" s="13" t="str">
        <f aca="false">IFERROR(AVERAGEIFS(Spots!$K:$K,Spots!$C:$C,$A49,Spots!$F:$F,"Posted"),"")</f>
        <v/>
      </c>
      <c r="I49" s="14"/>
    </row>
    <row r="50" customFormat="false" ht="15" hidden="false" customHeight="false" outlineLevel="0" collapsed="false">
      <c r="A50" s="12"/>
      <c r="B50" s="14"/>
      <c r="C50" s="12"/>
      <c r="D50" s="12"/>
      <c r="E50" s="14"/>
      <c r="F50" s="12"/>
      <c r="G50" s="12" t="n">
        <f aca="false">COUNTIF(Spots!$C:$C,$A50)</f>
        <v>0</v>
      </c>
      <c r="H50" s="13" t="str">
        <f aca="false">IFERROR(AVERAGEIFS(Spots!$K:$K,Spots!$C:$C,$A50,Spots!$F:$F,"Posted"),"")</f>
        <v/>
      </c>
      <c r="I50" s="14"/>
    </row>
    <row r="51" customFormat="false" ht="15" hidden="false" customHeight="false" outlineLevel="0" collapsed="false">
      <c r="A51" s="12"/>
      <c r="B51" s="14"/>
      <c r="C51" s="12"/>
      <c r="D51" s="12"/>
      <c r="E51" s="14"/>
      <c r="F51" s="12"/>
      <c r="G51" s="12" t="n">
        <f aca="false">COUNTIF(Spots!$C:$C,$A51)</f>
        <v>0</v>
      </c>
      <c r="H51" s="13" t="str">
        <f aca="false">IFERROR(AVERAGEIFS(Spots!$K:$K,Spots!$C:$C,$A51,Spots!$F:$F,"Posted"),"")</f>
        <v/>
      </c>
      <c r="I51" s="14"/>
    </row>
    <row r="52" customFormat="false" ht="15" hidden="false" customHeight="false" outlineLevel="0" collapsed="false">
      <c r="A52" s="12"/>
      <c r="B52" s="14"/>
      <c r="C52" s="12"/>
      <c r="D52" s="12"/>
      <c r="E52" s="14"/>
      <c r="F52" s="12"/>
      <c r="G52" s="12" t="n">
        <f aca="false">COUNTIF(Spots!$C:$C,$A52)</f>
        <v>0</v>
      </c>
      <c r="H52" s="13" t="str">
        <f aca="false">IFERROR(AVERAGEIFS(Spots!$K:$K,Spots!$C:$C,$A52,Spots!$F:$F,"Posted"),"")</f>
        <v/>
      </c>
      <c r="I52" s="14"/>
    </row>
    <row r="53" customFormat="false" ht="15" hidden="false" customHeight="false" outlineLevel="0" collapsed="false">
      <c r="A53" s="12"/>
      <c r="B53" s="14"/>
      <c r="C53" s="12"/>
      <c r="D53" s="12"/>
      <c r="E53" s="14"/>
      <c r="F53" s="12"/>
      <c r="G53" s="12" t="n">
        <f aca="false">COUNTIF(Spots!$C:$C,$A53)</f>
        <v>0</v>
      </c>
      <c r="H53" s="13" t="str">
        <f aca="false">IFERROR(AVERAGEIFS(Spots!$K:$K,Spots!$C:$C,$A53,Spots!$F:$F,"Posted"),"")</f>
        <v/>
      </c>
      <c r="I53" s="14"/>
    </row>
    <row r="54" customFormat="false" ht="15" hidden="false" customHeight="false" outlineLevel="0" collapsed="false">
      <c r="A54" s="12"/>
      <c r="B54" s="14"/>
      <c r="C54" s="12"/>
      <c r="D54" s="12"/>
      <c r="E54" s="14"/>
      <c r="F54" s="12"/>
      <c r="G54" s="12" t="n">
        <f aca="false">COUNTIF(Spots!$C:$C,$A54)</f>
        <v>0</v>
      </c>
      <c r="H54" s="13" t="str">
        <f aca="false">IFERROR(AVERAGEIFS(Spots!$K:$K,Spots!$C:$C,$A54,Spots!$F:$F,"Posted"),"")</f>
        <v/>
      </c>
      <c r="I54" s="14"/>
    </row>
    <row r="55" customFormat="false" ht="15" hidden="false" customHeight="false" outlineLevel="0" collapsed="false">
      <c r="A55" s="12"/>
      <c r="B55" s="14"/>
      <c r="C55" s="12"/>
      <c r="D55" s="12"/>
      <c r="E55" s="14"/>
      <c r="F55" s="12"/>
      <c r="G55" s="12" t="n">
        <f aca="false">COUNTIF(Spots!$C:$C,$A55)</f>
        <v>0</v>
      </c>
      <c r="H55" s="13" t="str">
        <f aca="false">IFERROR(AVERAGEIFS(Spots!$K:$K,Spots!$C:$C,$A55,Spots!$F:$F,"Posted"),"")</f>
        <v/>
      </c>
      <c r="I55" s="14"/>
    </row>
    <row r="56" customFormat="false" ht="15" hidden="false" customHeight="false" outlineLevel="0" collapsed="false">
      <c r="A56" s="12"/>
      <c r="B56" s="14"/>
      <c r="C56" s="12"/>
      <c r="D56" s="12"/>
      <c r="E56" s="14"/>
      <c r="F56" s="12"/>
      <c r="G56" s="12" t="n">
        <f aca="false">COUNTIF(Spots!$C:$C,$A56)</f>
        <v>0</v>
      </c>
      <c r="H56" s="13" t="str">
        <f aca="false">IFERROR(AVERAGEIFS(Spots!$K:$K,Spots!$C:$C,$A56,Spots!$F:$F,"Posted"),"")</f>
        <v/>
      </c>
      <c r="I56" s="14"/>
    </row>
    <row r="57" customFormat="false" ht="15" hidden="false" customHeight="false" outlineLevel="0" collapsed="false">
      <c r="A57" s="12"/>
      <c r="B57" s="14"/>
      <c r="C57" s="12"/>
      <c r="D57" s="12"/>
      <c r="E57" s="14"/>
      <c r="F57" s="12"/>
      <c r="G57" s="12" t="n">
        <f aca="false">COUNTIF(Spots!$C:$C,$A57)</f>
        <v>0</v>
      </c>
      <c r="H57" s="13" t="str">
        <f aca="false">IFERROR(AVERAGEIFS(Spots!$K:$K,Spots!$C:$C,$A57,Spots!$F:$F,"Posted"),"")</f>
        <v/>
      </c>
      <c r="I57" s="14"/>
    </row>
    <row r="58" customFormat="false" ht="15" hidden="false" customHeight="false" outlineLevel="0" collapsed="false">
      <c r="A58" s="12"/>
      <c r="B58" s="14"/>
      <c r="C58" s="12"/>
      <c r="D58" s="12"/>
      <c r="E58" s="14"/>
      <c r="F58" s="12"/>
      <c r="G58" s="12" t="n">
        <f aca="false">COUNTIF(Spots!$C:$C,$A58)</f>
        <v>0</v>
      </c>
      <c r="H58" s="13" t="str">
        <f aca="false">IFERROR(AVERAGEIFS(Spots!$K:$K,Spots!$C:$C,$A58,Spots!$F:$F,"Posted"),"")</f>
        <v/>
      </c>
      <c r="I58" s="14"/>
    </row>
    <row r="59" customFormat="false" ht="15" hidden="false" customHeight="false" outlineLevel="0" collapsed="false">
      <c r="A59" s="12"/>
      <c r="B59" s="14"/>
      <c r="C59" s="12"/>
      <c r="D59" s="12"/>
      <c r="E59" s="14"/>
      <c r="F59" s="12"/>
      <c r="G59" s="12" t="n">
        <f aca="false">COUNTIF(Spots!$C:$C,$A59)</f>
        <v>0</v>
      </c>
      <c r="H59" s="13" t="str">
        <f aca="false">IFERROR(AVERAGEIFS(Spots!$K:$K,Spots!$C:$C,$A59,Spots!$F:$F,"Posted"),"")</f>
        <v/>
      </c>
      <c r="I59" s="14"/>
    </row>
    <row r="60" customFormat="false" ht="15" hidden="false" customHeight="false" outlineLevel="0" collapsed="false">
      <c r="A60" s="12"/>
      <c r="B60" s="14"/>
      <c r="C60" s="12"/>
      <c r="D60" s="12"/>
      <c r="E60" s="14"/>
      <c r="F60" s="12"/>
      <c r="G60" s="12" t="n">
        <f aca="false">COUNTIF(Spots!$C:$C,$A60)</f>
        <v>0</v>
      </c>
      <c r="H60" s="13" t="str">
        <f aca="false">IFERROR(AVERAGEIFS(Spots!$K:$K,Spots!$C:$C,$A60,Spots!$F:$F,"Posted"),"")</f>
        <v/>
      </c>
      <c r="I60" s="14"/>
    </row>
    <row r="61" customFormat="false" ht="15" hidden="false" customHeight="false" outlineLevel="0" collapsed="false">
      <c r="A61" s="12"/>
      <c r="B61" s="14"/>
      <c r="C61" s="12"/>
      <c r="D61" s="12"/>
      <c r="E61" s="14"/>
      <c r="F61" s="12"/>
      <c r="G61" s="12" t="n">
        <f aca="false">COUNTIF(Spots!$C:$C,$A61)</f>
        <v>0</v>
      </c>
      <c r="H61" s="13" t="str">
        <f aca="false">IFERROR(AVERAGEIFS(Spots!$K:$K,Spots!$C:$C,$A61,Spots!$F:$F,"Posted"),"")</f>
        <v/>
      </c>
      <c r="I61" s="14"/>
    </row>
    <row r="62" customFormat="false" ht="15" hidden="false" customHeight="false" outlineLevel="0" collapsed="false">
      <c r="A62" s="12"/>
      <c r="B62" s="14"/>
      <c r="C62" s="12"/>
      <c r="D62" s="12"/>
      <c r="E62" s="14"/>
      <c r="F62" s="12"/>
      <c r="G62" s="12" t="n">
        <f aca="false">COUNTIF(Spots!$C:$C,$A62)</f>
        <v>0</v>
      </c>
      <c r="H62" s="13" t="str">
        <f aca="false">IFERROR(AVERAGEIFS(Spots!$K:$K,Spots!$C:$C,$A62,Spots!$F:$F,"Posted"),"")</f>
        <v/>
      </c>
      <c r="I62" s="14"/>
    </row>
    <row r="63" customFormat="false" ht="15" hidden="false" customHeight="false" outlineLevel="0" collapsed="false">
      <c r="A63" s="12"/>
      <c r="B63" s="14"/>
      <c r="C63" s="12"/>
      <c r="D63" s="12"/>
      <c r="E63" s="14"/>
      <c r="F63" s="12"/>
      <c r="G63" s="12" t="n">
        <f aca="false">COUNTIF(Spots!$C:$C,$A63)</f>
        <v>0</v>
      </c>
      <c r="H63" s="13" t="str">
        <f aca="false">IFERROR(AVERAGEIFS(Spots!$K:$K,Spots!$C:$C,$A63,Spots!$F:$F,"Posted"),"")</f>
        <v/>
      </c>
      <c r="I63" s="14"/>
    </row>
    <row r="64" customFormat="false" ht="15" hidden="false" customHeight="false" outlineLevel="0" collapsed="false">
      <c r="A64" s="12"/>
      <c r="B64" s="14"/>
      <c r="C64" s="12"/>
      <c r="D64" s="12"/>
      <c r="E64" s="14"/>
      <c r="F64" s="12"/>
      <c r="G64" s="12" t="n">
        <f aca="false">COUNTIF(Spots!$C:$C,$A64)</f>
        <v>0</v>
      </c>
      <c r="H64" s="13" t="str">
        <f aca="false">IFERROR(AVERAGEIFS(Spots!$K:$K,Spots!$C:$C,$A64,Spots!$F:$F,"Posted"),"")</f>
        <v/>
      </c>
      <c r="I64" s="14"/>
    </row>
    <row r="65" customFormat="false" ht="15" hidden="false" customHeight="false" outlineLevel="0" collapsed="false">
      <c r="A65" s="12"/>
      <c r="B65" s="14"/>
      <c r="C65" s="12"/>
      <c r="D65" s="12"/>
      <c r="E65" s="14"/>
      <c r="F65" s="12"/>
      <c r="G65" s="12" t="n">
        <f aca="false">COUNTIF(Spots!$C:$C,$A65)</f>
        <v>0</v>
      </c>
      <c r="H65" s="13" t="str">
        <f aca="false">IFERROR(AVERAGEIFS(Spots!$K:$K,Spots!$C:$C,$A65,Spots!$F:$F,"Posted"),"")</f>
        <v/>
      </c>
      <c r="I65" s="14"/>
    </row>
    <row r="66" customFormat="false" ht="15" hidden="false" customHeight="false" outlineLevel="0" collapsed="false">
      <c r="A66" s="12"/>
      <c r="B66" s="14"/>
      <c r="C66" s="12"/>
      <c r="D66" s="12"/>
      <c r="E66" s="14"/>
      <c r="F66" s="12"/>
      <c r="G66" s="12" t="n">
        <f aca="false">COUNTIF(Spots!$C:$C,$A66)</f>
        <v>0</v>
      </c>
      <c r="H66" s="13" t="str">
        <f aca="false">IFERROR(AVERAGEIFS(Spots!$K:$K,Spots!$C:$C,$A66,Spots!$F:$F,"Posted"),"")</f>
        <v/>
      </c>
      <c r="I66" s="14"/>
    </row>
    <row r="67" customFormat="false" ht="15" hidden="false" customHeight="false" outlineLevel="0" collapsed="false">
      <c r="A67" s="12"/>
      <c r="B67" s="14"/>
      <c r="C67" s="12"/>
      <c r="D67" s="12"/>
      <c r="E67" s="14"/>
      <c r="F67" s="12"/>
      <c r="G67" s="12" t="n">
        <f aca="false">COUNTIF(Spots!$C:$C,$A67)</f>
        <v>0</v>
      </c>
      <c r="H67" s="13" t="str">
        <f aca="false">IFERROR(AVERAGEIFS(Spots!$K:$K,Spots!$C:$C,$A67,Spots!$F:$F,"Posted"),"")</f>
        <v/>
      </c>
      <c r="I67" s="14"/>
    </row>
    <row r="68" customFormat="false" ht="15" hidden="false" customHeight="false" outlineLevel="0" collapsed="false">
      <c r="A68" s="12"/>
      <c r="B68" s="14"/>
      <c r="C68" s="12"/>
      <c r="D68" s="12"/>
      <c r="E68" s="14"/>
      <c r="F68" s="12"/>
      <c r="G68" s="12" t="n">
        <f aca="false">COUNTIF(Spots!$C:$C,$A68)</f>
        <v>0</v>
      </c>
      <c r="H68" s="13" t="str">
        <f aca="false">IFERROR(AVERAGEIFS(Spots!$K:$K,Spots!$C:$C,$A68,Spots!$F:$F,"Posted"),"")</f>
        <v/>
      </c>
      <c r="I68" s="14"/>
    </row>
    <row r="69" customFormat="false" ht="15" hidden="false" customHeight="false" outlineLevel="0" collapsed="false">
      <c r="A69" s="12"/>
      <c r="B69" s="14"/>
      <c r="C69" s="12"/>
      <c r="D69" s="12"/>
      <c r="E69" s="14"/>
      <c r="F69" s="12"/>
      <c r="G69" s="12" t="n">
        <f aca="false">COUNTIF(Spots!$C:$C,$A69)</f>
        <v>0</v>
      </c>
      <c r="H69" s="13" t="str">
        <f aca="false">IFERROR(AVERAGEIFS(Spots!$K:$K,Spots!$C:$C,$A69,Spots!$F:$F,"Posted"),"")</f>
        <v/>
      </c>
      <c r="I69" s="14"/>
    </row>
    <row r="70" customFormat="false" ht="15" hidden="false" customHeight="false" outlineLevel="0" collapsed="false">
      <c r="A70" s="12"/>
      <c r="B70" s="14"/>
      <c r="C70" s="12"/>
      <c r="D70" s="12"/>
      <c r="E70" s="14"/>
      <c r="F70" s="12"/>
      <c r="G70" s="12" t="n">
        <f aca="false">COUNTIF(Spots!$C:$C,$A70)</f>
        <v>0</v>
      </c>
      <c r="H70" s="13" t="str">
        <f aca="false">IFERROR(AVERAGEIFS(Spots!$K:$K,Spots!$C:$C,$A70,Spots!$F:$F,"Posted"),"")</f>
        <v/>
      </c>
      <c r="I70" s="14"/>
    </row>
    <row r="71" customFormat="false" ht="15" hidden="false" customHeight="false" outlineLevel="0" collapsed="false">
      <c r="A71" s="12"/>
      <c r="B71" s="14"/>
      <c r="C71" s="12"/>
      <c r="D71" s="12"/>
      <c r="E71" s="14"/>
      <c r="F71" s="12"/>
      <c r="G71" s="12" t="n">
        <f aca="false">COUNTIF(Spots!$C:$C,$A71)</f>
        <v>0</v>
      </c>
      <c r="H71" s="13" t="str">
        <f aca="false">IFERROR(AVERAGEIFS(Spots!$K:$K,Spots!$C:$C,$A71,Spots!$F:$F,"Posted"),"")</f>
        <v/>
      </c>
      <c r="I71" s="14"/>
    </row>
    <row r="72" customFormat="false" ht="15" hidden="false" customHeight="false" outlineLevel="0" collapsed="false">
      <c r="A72" s="12"/>
      <c r="B72" s="14"/>
      <c r="C72" s="12"/>
      <c r="D72" s="12"/>
      <c r="E72" s="14"/>
      <c r="F72" s="12"/>
      <c r="G72" s="12" t="n">
        <f aca="false">COUNTIF(Spots!$C:$C,$A72)</f>
        <v>0</v>
      </c>
      <c r="H72" s="13" t="str">
        <f aca="false">IFERROR(AVERAGEIFS(Spots!$K:$K,Spots!$C:$C,$A72,Spots!$F:$F,"Posted"),"")</f>
        <v/>
      </c>
      <c r="I72" s="14"/>
    </row>
    <row r="73" customFormat="false" ht="15" hidden="false" customHeight="false" outlineLevel="0" collapsed="false">
      <c r="A73" s="12"/>
      <c r="B73" s="14"/>
      <c r="C73" s="12"/>
      <c r="D73" s="12"/>
      <c r="E73" s="14"/>
      <c r="F73" s="12"/>
      <c r="G73" s="12" t="n">
        <f aca="false">COUNTIF(Spots!$C:$C,$A73)</f>
        <v>0</v>
      </c>
      <c r="H73" s="13" t="str">
        <f aca="false">IFERROR(AVERAGEIFS(Spots!$K:$K,Spots!$C:$C,$A73,Spots!$F:$F,"Posted"),"")</f>
        <v/>
      </c>
      <c r="I73" s="14"/>
    </row>
    <row r="74" customFormat="false" ht="15" hidden="false" customHeight="false" outlineLevel="0" collapsed="false">
      <c r="A74" s="12"/>
      <c r="B74" s="14"/>
      <c r="C74" s="12"/>
      <c r="D74" s="12"/>
      <c r="E74" s="14"/>
      <c r="F74" s="12"/>
      <c r="G74" s="12" t="n">
        <f aca="false">COUNTIF(Spots!$C:$C,$A74)</f>
        <v>0</v>
      </c>
      <c r="H74" s="13" t="str">
        <f aca="false">IFERROR(AVERAGEIFS(Spots!$K:$K,Spots!$C:$C,$A74,Spots!$F:$F,"Posted"),"")</f>
        <v/>
      </c>
      <c r="I74" s="14"/>
    </row>
    <row r="75" customFormat="false" ht="15" hidden="false" customHeight="false" outlineLevel="0" collapsed="false">
      <c r="A75" s="12"/>
      <c r="B75" s="14"/>
      <c r="C75" s="12"/>
      <c r="D75" s="12"/>
      <c r="E75" s="14"/>
      <c r="F75" s="12"/>
      <c r="G75" s="12" t="n">
        <f aca="false">COUNTIF(Spots!$C:$C,$A75)</f>
        <v>0</v>
      </c>
      <c r="H75" s="13" t="str">
        <f aca="false">IFERROR(AVERAGEIFS(Spots!$K:$K,Spots!$C:$C,$A75,Spots!$F:$F,"Posted"),"")</f>
        <v/>
      </c>
      <c r="I75" s="14"/>
    </row>
    <row r="76" customFormat="false" ht="15" hidden="false" customHeight="false" outlineLevel="0" collapsed="false">
      <c r="A76" s="12"/>
      <c r="B76" s="14"/>
      <c r="C76" s="12"/>
      <c r="D76" s="12"/>
      <c r="E76" s="14"/>
      <c r="F76" s="12"/>
      <c r="G76" s="12" t="n">
        <f aca="false">COUNTIF(Spots!$C:$C,$A76)</f>
        <v>0</v>
      </c>
      <c r="H76" s="13" t="str">
        <f aca="false">IFERROR(AVERAGEIFS(Spots!$K:$K,Spots!$C:$C,$A76,Spots!$F:$F,"Posted"),"")</f>
        <v/>
      </c>
      <c r="I76" s="14"/>
    </row>
    <row r="77" customFormat="false" ht="15" hidden="false" customHeight="false" outlineLevel="0" collapsed="false">
      <c r="A77" s="12"/>
      <c r="B77" s="14"/>
      <c r="C77" s="12"/>
      <c r="D77" s="12"/>
      <c r="E77" s="14"/>
      <c r="F77" s="12"/>
      <c r="G77" s="12" t="n">
        <f aca="false">COUNTIF(Spots!$C:$C,$A77)</f>
        <v>0</v>
      </c>
      <c r="H77" s="13" t="str">
        <f aca="false">IFERROR(AVERAGEIFS(Spots!$K:$K,Spots!$C:$C,$A77,Spots!$F:$F,"Posted"),"")</f>
        <v/>
      </c>
      <c r="I77" s="14"/>
    </row>
    <row r="78" customFormat="false" ht="15" hidden="false" customHeight="false" outlineLevel="0" collapsed="false">
      <c r="A78" s="12"/>
      <c r="B78" s="14"/>
      <c r="C78" s="12"/>
      <c r="D78" s="12"/>
      <c r="E78" s="14"/>
      <c r="F78" s="12"/>
      <c r="G78" s="12" t="n">
        <f aca="false">COUNTIF(Spots!$C:$C,$A78)</f>
        <v>0</v>
      </c>
      <c r="H78" s="13" t="str">
        <f aca="false">IFERROR(AVERAGEIFS(Spots!$K:$K,Spots!$C:$C,$A78,Spots!$F:$F,"Posted"),"")</f>
        <v/>
      </c>
      <c r="I78" s="14"/>
    </row>
    <row r="79" customFormat="false" ht="15" hidden="false" customHeight="false" outlineLevel="0" collapsed="false">
      <c r="A79" s="12"/>
      <c r="B79" s="14"/>
      <c r="C79" s="12"/>
      <c r="D79" s="12"/>
      <c r="E79" s="14"/>
      <c r="F79" s="12"/>
      <c r="G79" s="12" t="n">
        <f aca="false">COUNTIF(Spots!$C:$C,$A79)</f>
        <v>0</v>
      </c>
      <c r="H79" s="13" t="str">
        <f aca="false">IFERROR(AVERAGEIFS(Spots!$K:$K,Spots!$C:$C,$A79,Spots!$F:$F,"Posted"),"")</f>
        <v/>
      </c>
      <c r="I79" s="14"/>
    </row>
    <row r="80" customFormat="false" ht="15" hidden="false" customHeight="false" outlineLevel="0" collapsed="false">
      <c r="A80" s="12"/>
      <c r="B80" s="14"/>
      <c r="C80" s="12"/>
      <c r="D80" s="12"/>
      <c r="E80" s="14"/>
      <c r="F80" s="12"/>
      <c r="G80" s="12" t="n">
        <f aca="false">COUNTIF(Spots!$C:$C,$A80)</f>
        <v>0</v>
      </c>
      <c r="H80" s="13" t="str">
        <f aca="false">IFERROR(AVERAGEIFS(Spots!$K:$K,Spots!$C:$C,$A80,Spots!$F:$F,"Posted"),"")</f>
        <v/>
      </c>
      <c r="I80" s="14"/>
    </row>
    <row r="81" customFormat="false" ht="15" hidden="false" customHeight="false" outlineLevel="0" collapsed="false">
      <c r="A81" s="12"/>
      <c r="B81" s="14"/>
      <c r="C81" s="12"/>
      <c r="D81" s="12"/>
      <c r="E81" s="14"/>
      <c r="F81" s="12"/>
      <c r="G81" s="12" t="n">
        <f aca="false">COUNTIF(Spots!$C:$C,$A81)</f>
        <v>0</v>
      </c>
      <c r="H81" s="13" t="str">
        <f aca="false">IFERROR(AVERAGEIFS(Spots!$K:$K,Spots!$C:$C,$A81,Spots!$F:$F,"Posted"),"")</f>
        <v/>
      </c>
      <c r="I81" s="14"/>
    </row>
    <row r="82" customFormat="false" ht="15" hidden="false" customHeight="false" outlineLevel="0" collapsed="false">
      <c r="A82" s="12"/>
      <c r="B82" s="14"/>
      <c r="C82" s="12"/>
      <c r="D82" s="12"/>
      <c r="E82" s="14"/>
      <c r="F82" s="12"/>
      <c r="G82" s="12" t="n">
        <f aca="false">COUNTIF(Spots!$C:$C,$A82)</f>
        <v>0</v>
      </c>
      <c r="H82" s="13" t="str">
        <f aca="false">IFERROR(AVERAGEIFS(Spots!$K:$K,Spots!$C:$C,$A82,Spots!$F:$F,"Posted"),"")</f>
        <v/>
      </c>
      <c r="I82" s="14"/>
    </row>
    <row r="83" customFormat="false" ht="15" hidden="false" customHeight="false" outlineLevel="0" collapsed="false">
      <c r="A83" s="12"/>
      <c r="B83" s="14"/>
      <c r="C83" s="12"/>
      <c r="D83" s="12"/>
      <c r="E83" s="14"/>
      <c r="F83" s="12"/>
      <c r="G83" s="12" t="n">
        <f aca="false">COUNTIF(Spots!$C:$C,$A83)</f>
        <v>0</v>
      </c>
      <c r="H83" s="13" t="str">
        <f aca="false">IFERROR(AVERAGEIFS(Spots!$K:$K,Spots!$C:$C,$A83,Spots!$F:$F,"Posted"),"")</f>
        <v/>
      </c>
      <c r="I83" s="14"/>
    </row>
    <row r="84" customFormat="false" ht="15" hidden="false" customHeight="false" outlineLevel="0" collapsed="false">
      <c r="A84" s="12"/>
      <c r="B84" s="14"/>
      <c r="C84" s="12"/>
      <c r="D84" s="12"/>
      <c r="E84" s="14"/>
      <c r="F84" s="12"/>
      <c r="G84" s="12" t="n">
        <f aca="false">COUNTIF(Spots!$C:$C,$A84)</f>
        <v>0</v>
      </c>
      <c r="H84" s="13" t="str">
        <f aca="false">IFERROR(AVERAGEIFS(Spots!$K:$K,Spots!$C:$C,$A84,Spots!$F:$F,"Posted"),"")</f>
        <v/>
      </c>
      <c r="I84" s="14"/>
    </row>
    <row r="85" customFormat="false" ht="15" hidden="false" customHeight="false" outlineLevel="0" collapsed="false">
      <c r="A85" s="12"/>
      <c r="B85" s="14"/>
      <c r="C85" s="12"/>
      <c r="D85" s="12"/>
      <c r="E85" s="14"/>
      <c r="F85" s="12"/>
      <c r="G85" s="12" t="n">
        <f aca="false">COUNTIF(Spots!$C:$C,$A85)</f>
        <v>0</v>
      </c>
      <c r="H85" s="13" t="str">
        <f aca="false">IFERROR(AVERAGEIFS(Spots!$K:$K,Spots!$C:$C,$A85,Spots!$F:$F,"Posted"),"")</f>
        <v/>
      </c>
      <c r="I85" s="14"/>
    </row>
    <row r="86" customFormat="false" ht="15" hidden="false" customHeight="false" outlineLevel="0" collapsed="false">
      <c r="A86" s="12"/>
      <c r="B86" s="14"/>
      <c r="C86" s="12"/>
      <c r="D86" s="12"/>
      <c r="E86" s="14"/>
      <c r="F86" s="12"/>
      <c r="G86" s="12" t="n">
        <f aca="false">COUNTIF(Spots!$C:$C,$A86)</f>
        <v>0</v>
      </c>
      <c r="H86" s="13" t="str">
        <f aca="false">IFERROR(AVERAGEIFS(Spots!$K:$K,Spots!$C:$C,$A86,Spots!$F:$F,"Posted"),"")</f>
        <v/>
      </c>
      <c r="I86" s="14"/>
    </row>
    <row r="87" customFormat="false" ht="15" hidden="false" customHeight="false" outlineLevel="0" collapsed="false">
      <c r="A87" s="12"/>
      <c r="B87" s="14"/>
      <c r="C87" s="12"/>
      <c r="D87" s="12"/>
      <c r="E87" s="14"/>
      <c r="F87" s="12"/>
      <c r="G87" s="12" t="n">
        <f aca="false">COUNTIF(Spots!$C:$C,$A87)</f>
        <v>0</v>
      </c>
      <c r="H87" s="13" t="str">
        <f aca="false">IFERROR(AVERAGEIFS(Spots!$K:$K,Spots!$C:$C,$A87,Spots!$F:$F,"Posted"),"")</f>
        <v/>
      </c>
      <c r="I87" s="14"/>
    </row>
    <row r="88" customFormat="false" ht="15" hidden="false" customHeight="false" outlineLevel="0" collapsed="false">
      <c r="A88" s="12"/>
      <c r="B88" s="14"/>
      <c r="C88" s="12"/>
      <c r="D88" s="12"/>
      <c r="E88" s="14"/>
      <c r="F88" s="12"/>
      <c r="G88" s="12" t="n">
        <f aca="false">COUNTIF(Spots!$C:$C,$A88)</f>
        <v>0</v>
      </c>
      <c r="H88" s="13" t="str">
        <f aca="false">IFERROR(AVERAGEIFS(Spots!$K:$K,Spots!$C:$C,$A88,Spots!$F:$F,"Posted"),"")</f>
        <v/>
      </c>
      <c r="I88" s="14"/>
    </row>
    <row r="89" customFormat="false" ht="15" hidden="false" customHeight="false" outlineLevel="0" collapsed="false">
      <c r="A89" s="12"/>
      <c r="B89" s="14"/>
      <c r="C89" s="12"/>
      <c r="D89" s="12"/>
      <c r="E89" s="14"/>
      <c r="F89" s="12"/>
      <c r="G89" s="12" t="n">
        <f aca="false">COUNTIF(Spots!$C:$C,$A89)</f>
        <v>0</v>
      </c>
      <c r="H89" s="13" t="str">
        <f aca="false">IFERROR(AVERAGEIFS(Spots!$K:$K,Spots!$C:$C,$A89,Spots!$F:$F,"Posted"),"")</f>
        <v/>
      </c>
      <c r="I89" s="14"/>
    </row>
    <row r="90" customFormat="false" ht="15" hidden="false" customHeight="false" outlineLevel="0" collapsed="false">
      <c r="A90" s="12"/>
      <c r="B90" s="14"/>
      <c r="C90" s="12"/>
      <c r="D90" s="12"/>
      <c r="E90" s="14"/>
      <c r="F90" s="12"/>
      <c r="G90" s="12" t="n">
        <f aca="false">COUNTIF(Spots!$C:$C,$A90)</f>
        <v>0</v>
      </c>
      <c r="H90" s="13" t="str">
        <f aca="false">IFERROR(AVERAGEIFS(Spots!$K:$K,Spots!$C:$C,$A90,Spots!$F:$F,"Posted"),"")</f>
        <v/>
      </c>
      <c r="I90" s="14"/>
    </row>
    <row r="91" customFormat="false" ht="15" hidden="false" customHeight="false" outlineLevel="0" collapsed="false">
      <c r="A91" s="12"/>
      <c r="B91" s="14"/>
      <c r="C91" s="12"/>
      <c r="D91" s="12"/>
      <c r="E91" s="14"/>
      <c r="F91" s="12"/>
      <c r="G91" s="12" t="n">
        <f aca="false">COUNTIF(Spots!$C:$C,$A91)</f>
        <v>0</v>
      </c>
      <c r="H91" s="13" t="str">
        <f aca="false">IFERROR(AVERAGEIFS(Spots!$K:$K,Spots!$C:$C,$A91,Spots!$F:$F,"Posted"),"")</f>
        <v/>
      </c>
      <c r="I91" s="14"/>
    </row>
    <row r="92" customFormat="false" ht="15" hidden="false" customHeight="false" outlineLevel="0" collapsed="false">
      <c r="A92" s="12"/>
      <c r="B92" s="14"/>
      <c r="C92" s="12"/>
      <c r="D92" s="12"/>
      <c r="E92" s="14"/>
      <c r="F92" s="12"/>
      <c r="G92" s="12" t="n">
        <f aca="false">COUNTIF(Spots!$C:$C,$A92)</f>
        <v>0</v>
      </c>
      <c r="H92" s="13" t="str">
        <f aca="false">IFERROR(AVERAGEIFS(Spots!$K:$K,Spots!$C:$C,$A92,Spots!$F:$F,"Posted"),"")</f>
        <v/>
      </c>
      <c r="I92" s="14"/>
    </row>
    <row r="93" customFormat="false" ht="15" hidden="false" customHeight="false" outlineLevel="0" collapsed="false">
      <c r="A93" s="12"/>
      <c r="B93" s="14"/>
      <c r="C93" s="12"/>
      <c r="D93" s="12"/>
      <c r="E93" s="14"/>
      <c r="F93" s="12"/>
      <c r="G93" s="12" t="n">
        <f aca="false">COUNTIF(Spots!$C:$C,$A93)</f>
        <v>0</v>
      </c>
      <c r="H93" s="13" t="str">
        <f aca="false">IFERROR(AVERAGEIFS(Spots!$K:$K,Spots!$C:$C,$A93,Spots!$F:$F,"Posted"),"")</f>
        <v/>
      </c>
      <c r="I93" s="14"/>
    </row>
    <row r="94" customFormat="false" ht="15" hidden="false" customHeight="false" outlineLevel="0" collapsed="false">
      <c r="A94" s="12"/>
      <c r="B94" s="14"/>
      <c r="C94" s="12"/>
      <c r="D94" s="12"/>
      <c r="E94" s="14"/>
      <c r="F94" s="12"/>
      <c r="G94" s="12" t="n">
        <f aca="false">COUNTIF(Spots!$C:$C,$A94)</f>
        <v>0</v>
      </c>
      <c r="H94" s="13" t="str">
        <f aca="false">IFERROR(AVERAGEIFS(Spots!$K:$K,Spots!$C:$C,$A94,Spots!$F:$F,"Posted"),"")</f>
        <v/>
      </c>
      <c r="I94" s="14"/>
    </row>
    <row r="95" customFormat="false" ht="15" hidden="false" customHeight="false" outlineLevel="0" collapsed="false">
      <c r="A95" s="12"/>
      <c r="B95" s="14"/>
      <c r="C95" s="12"/>
      <c r="D95" s="12"/>
      <c r="E95" s="14"/>
      <c r="F95" s="12"/>
      <c r="G95" s="12" t="n">
        <f aca="false">COUNTIF(Spots!$C:$C,$A95)</f>
        <v>0</v>
      </c>
      <c r="H95" s="13" t="str">
        <f aca="false">IFERROR(AVERAGEIFS(Spots!$K:$K,Spots!$C:$C,$A95,Spots!$F:$F,"Posted"),"")</f>
        <v/>
      </c>
      <c r="I95" s="14"/>
    </row>
    <row r="96" customFormat="false" ht="15" hidden="false" customHeight="false" outlineLevel="0" collapsed="false">
      <c r="A96" s="12"/>
      <c r="B96" s="14"/>
      <c r="C96" s="12"/>
      <c r="D96" s="12"/>
      <c r="E96" s="14"/>
      <c r="F96" s="12"/>
      <c r="G96" s="12" t="n">
        <f aca="false">COUNTIF(Spots!$C:$C,$A96)</f>
        <v>0</v>
      </c>
      <c r="H96" s="13" t="str">
        <f aca="false">IFERROR(AVERAGEIFS(Spots!$K:$K,Spots!$C:$C,$A96,Spots!$F:$F,"Posted"),"")</f>
        <v/>
      </c>
      <c r="I96" s="14"/>
    </row>
    <row r="97" customFormat="false" ht="15" hidden="false" customHeight="false" outlineLevel="0" collapsed="false">
      <c r="A97" s="12"/>
      <c r="B97" s="14"/>
      <c r="C97" s="12"/>
      <c r="D97" s="12"/>
      <c r="E97" s="14"/>
      <c r="F97" s="12"/>
      <c r="G97" s="12" t="n">
        <f aca="false">COUNTIF(Spots!$C:$C,$A97)</f>
        <v>0</v>
      </c>
      <c r="H97" s="13" t="str">
        <f aca="false">IFERROR(AVERAGEIFS(Spots!$K:$K,Spots!$C:$C,$A97,Spots!$F:$F,"Posted"),"")</f>
        <v/>
      </c>
      <c r="I97" s="14"/>
    </row>
    <row r="98" customFormat="false" ht="15" hidden="false" customHeight="false" outlineLevel="0" collapsed="false">
      <c r="A98" s="12"/>
      <c r="B98" s="14"/>
      <c r="C98" s="12"/>
      <c r="D98" s="12"/>
      <c r="E98" s="14"/>
      <c r="F98" s="12"/>
      <c r="G98" s="12" t="n">
        <f aca="false">COUNTIF(Spots!$C:$C,$A98)</f>
        <v>0</v>
      </c>
      <c r="H98" s="13" t="str">
        <f aca="false">IFERROR(AVERAGEIFS(Spots!$K:$K,Spots!$C:$C,$A98,Spots!$F:$F,"Posted"),"")</f>
        <v/>
      </c>
      <c r="I98" s="14"/>
    </row>
    <row r="99" customFormat="false" ht="15" hidden="false" customHeight="false" outlineLevel="0" collapsed="false">
      <c r="A99" s="12"/>
      <c r="B99" s="14"/>
      <c r="C99" s="12"/>
      <c r="D99" s="12"/>
      <c r="E99" s="14"/>
      <c r="F99" s="12"/>
      <c r="G99" s="12" t="n">
        <f aca="false">COUNTIF(Spots!$C:$C,$A99)</f>
        <v>0</v>
      </c>
      <c r="H99" s="13" t="str">
        <f aca="false">IFERROR(AVERAGEIFS(Spots!$K:$K,Spots!$C:$C,$A99,Spots!$F:$F,"Posted"),"")</f>
        <v/>
      </c>
      <c r="I99" s="14"/>
    </row>
    <row r="100" customFormat="false" ht="15" hidden="false" customHeight="false" outlineLevel="0" collapsed="false">
      <c r="A100" s="12"/>
      <c r="B100" s="14"/>
      <c r="C100" s="12"/>
      <c r="D100" s="12"/>
      <c r="E100" s="14"/>
      <c r="F100" s="12"/>
      <c r="G100" s="12" t="n">
        <f aca="false">COUNTIF(Spots!$C:$C,$A100)</f>
        <v>0</v>
      </c>
      <c r="H100" s="13" t="str">
        <f aca="false">IFERROR(AVERAGEIFS(Spots!$K:$K,Spots!$C:$C,$A100,Spots!$F:$F,"Posted"),"")</f>
        <v/>
      </c>
      <c r="I100" s="14"/>
    </row>
    <row r="101" customFormat="false" ht="15" hidden="false" customHeight="false" outlineLevel="0" collapsed="false">
      <c r="A101" s="12"/>
      <c r="B101" s="14"/>
      <c r="C101" s="12"/>
      <c r="D101" s="12"/>
      <c r="E101" s="14"/>
      <c r="F101" s="12"/>
      <c r="G101" s="12" t="n">
        <f aca="false">COUNTIF(Spots!$C:$C,$A101)</f>
        <v>0</v>
      </c>
      <c r="H101" s="13" t="str">
        <f aca="false">IFERROR(AVERAGEIFS(Spots!$K:$K,Spots!$C:$C,$A101,Spots!$F:$F,"Posted"),"")</f>
        <v/>
      </c>
      <c r="I101" s="14"/>
    </row>
    <row r="102" customFormat="false" ht="15" hidden="false" customHeight="false" outlineLevel="0" collapsed="false">
      <c r="A102" s="12"/>
      <c r="B102" s="14"/>
      <c r="C102" s="12"/>
      <c r="D102" s="12"/>
      <c r="E102" s="14"/>
      <c r="F102" s="12"/>
      <c r="G102" s="12" t="n">
        <f aca="false">COUNTIF(Spots!$C:$C,$A102)</f>
        <v>0</v>
      </c>
      <c r="H102" s="13" t="str">
        <f aca="false">IFERROR(AVERAGEIFS(Spots!$K:$K,Spots!$C:$C,$A102,Spots!$F:$F,"Posted"),"")</f>
        <v/>
      </c>
      <c r="I102" s="14"/>
    </row>
    <row r="103" customFormat="false" ht="15" hidden="false" customHeight="false" outlineLevel="0" collapsed="false">
      <c r="A103" s="12"/>
      <c r="B103" s="14"/>
      <c r="C103" s="12"/>
      <c r="D103" s="12"/>
      <c r="E103" s="14"/>
      <c r="F103" s="12"/>
      <c r="G103" s="12" t="n">
        <f aca="false">COUNTIF(Spots!$C:$C,$A103)</f>
        <v>0</v>
      </c>
      <c r="H103" s="13" t="str">
        <f aca="false">IFERROR(AVERAGEIFS(Spots!$K:$K,Spots!$C:$C,$A103,Spots!$F:$F,"Posted"),"")</f>
        <v/>
      </c>
      <c r="I103" s="14"/>
    </row>
    <row r="104" customFormat="false" ht="15" hidden="false" customHeight="false" outlineLevel="0" collapsed="false">
      <c r="A104" s="12"/>
      <c r="B104" s="14"/>
      <c r="C104" s="12"/>
      <c r="D104" s="12"/>
      <c r="E104" s="14"/>
      <c r="F104" s="12"/>
      <c r="G104" s="12" t="n">
        <f aca="false">COUNTIF(Spots!$C:$C,$A104)</f>
        <v>0</v>
      </c>
      <c r="H104" s="13" t="str">
        <f aca="false">IFERROR(AVERAGEIFS(Spots!$K:$K,Spots!$C:$C,$A104,Spots!$F:$F,"Posted"),"")</f>
        <v/>
      </c>
      <c r="I104" s="14"/>
    </row>
    <row r="105" customFormat="false" ht="15" hidden="false" customHeight="false" outlineLevel="0" collapsed="false">
      <c r="A105" s="12"/>
      <c r="B105" s="14"/>
      <c r="C105" s="12"/>
      <c r="D105" s="12"/>
      <c r="E105" s="14"/>
      <c r="F105" s="12"/>
      <c r="G105" s="12" t="n">
        <f aca="false">COUNTIF(Spots!$C:$C,$A105)</f>
        <v>0</v>
      </c>
      <c r="H105" s="13" t="str">
        <f aca="false">IFERROR(AVERAGEIFS(Spots!$K:$K,Spots!$C:$C,$A105,Spots!$F:$F,"Posted"),"")</f>
        <v/>
      </c>
      <c r="I105" s="14"/>
    </row>
    <row r="106" customFormat="false" ht="15" hidden="false" customHeight="false" outlineLevel="0" collapsed="false">
      <c r="A106" s="12"/>
      <c r="B106" s="14"/>
      <c r="C106" s="12"/>
      <c r="D106" s="12"/>
      <c r="E106" s="14"/>
      <c r="F106" s="12"/>
      <c r="G106" s="12" t="n">
        <f aca="false">COUNTIF(Spots!$C:$C,$A106)</f>
        <v>0</v>
      </c>
      <c r="H106" s="13" t="str">
        <f aca="false">IFERROR(AVERAGEIFS(Spots!$K:$K,Spots!$C:$C,$A106,Spots!$F:$F,"Posted"),"")</f>
        <v/>
      </c>
      <c r="I106" s="14"/>
    </row>
    <row r="107" customFormat="false" ht="15" hidden="false" customHeight="false" outlineLevel="0" collapsed="false">
      <c r="A107" s="12"/>
      <c r="B107" s="14"/>
      <c r="C107" s="12"/>
      <c r="D107" s="12"/>
      <c r="E107" s="14"/>
      <c r="F107" s="12"/>
      <c r="G107" s="12" t="n">
        <f aca="false">COUNTIF(Spots!$C:$C,$A107)</f>
        <v>0</v>
      </c>
      <c r="H107" s="13" t="str">
        <f aca="false">IFERROR(AVERAGEIFS(Spots!$K:$K,Spots!$C:$C,$A107,Spots!$F:$F,"Posted"),"")</f>
        <v/>
      </c>
      <c r="I107" s="14"/>
    </row>
    <row r="108" customFormat="false" ht="15" hidden="false" customHeight="false" outlineLevel="0" collapsed="false">
      <c r="A108" s="12"/>
      <c r="B108" s="14"/>
      <c r="C108" s="12"/>
      <c r="D108" s="12"/>
      <c r="E108" s="14"/>
      <c r="F108" s="12"/>
      <c r="G108" s="12" t="n">
        <f aca="false">COUNTIF(Spots!$C:$C,$A108)</f>
        <v>0</v>
      </c>
      <c r="H108" s="13" t="str">
        <f aca="false">IFERROR(AVERAGEIFS(Spots!$K:$K,Spots!$C:$C,$A108,Spots!$F:$F,"Posted"),"")</f>
        <v/>
      </c>
      <c r="I108" s="14"/>
    </row>
    <row r="109" customFormat="false" ht="15" hidden="false" customHeight="false" outlineLevel="0" collapsed="false">
      <c r="A109" s="12"/>
      <c r="B109" s="14"/>
      <c r="C109" s="12"/>
      <c r="D109" s="12"/>
      <c r="E109" s="14"/>
      <c r="F109" s="12"/>
      <c r="G109" s="12" t="n">
        <f aca="false">COUNTIF(Spots!$C:$C,$A109)</f>
        <v>0</v>
      </c>
      <c r="H109" s="13" t="str">
        <f aca="false">IFERROR(AVERAGEIFS(Spots!$K:$K,Spots!$C:$C,$A109,Spots!$F:$F,"Posted"),"")</f>
        <v/>
      </c>
      <c r="I109" s="14"/>
    </row>
    <row r="110" customFormat="false" ht="15" hidden="false" customHeight="false" outlineLevel="0" collapsed="false">
      <c r="A110" s="12"/>
      <c r="B110" s="14"/>
      <c r="C110" s="12"/>
      <c r="D110" s="12"/>
      <c r="E110" s="14"/>
      <c r="F110" s="12"/>
      <c r="G110" s="12" t="n">
        <f aca="false">COUNTIF(Spots!$C:$C,$A110)</f>
        <v>0</v>
      </c>
      <c r="H110" s="13" t="str">
        <f aca="false">IFERROR(AVERAGEIFS(Spots!$K:$K,Spots!$C:$C,$A110,Spots!$F:$F,"Posted"),"")</f>
        <v/>
      </c>
      <c r="I110" s="14"/>
    </row>
    <row r="111" customFormat="false" ht="15" hidden="false" customHeight="false" outlineLevel="0" collapsed="false">
      <c r="A111" s="12"/>
      <c r="B111" s="14"/>
      <c r="C111" s="12"/>
      <c r="D111" s="12"/>
      <c r="E111" s="14"/>
      <c r="F111" s="12"/>
      <c r="G111" s="12" t="n">
        <f aca="false">COUNTIF(Spots!$C:$C,$A111)</f>
        <v>0</v>
      </c>
      <c r="H111" s="13" t="str">
        <f aca="false">IFERROR(AVERAGEIFS(Spots!$K:$K,Spots!$C:$C,$A111,Spots!$F:$F,"Posted"),"")</f>
        <v/>
      </c>
      <c r="I111" s="14"/>
    </row>
    <row r="112" customFormat="false" ht="15" hidden="false" customHeight="false" outlineLevel="0" collapsed="false">
      <c r="A112" s="12"/>
      <c r="B112" s="14"/>
      <c r="C112" s="12"/>
      <c r="D112" s="12"/>
      <c r="E112" s="14"/>
      <c r="F112" s="12"/>
      <c r="G112" s="12" t="n">
        <f aca="false">COUNTIF(Spots!$C:$C,$A112)</f>
        <v>0</v>
      </c>
      <c r="H112" s="13" t="str">
        <f aca="false">IFERROR(AVERAGEIFS(Spots!$K:$K,Spots!$C:$C,$A112,Spots!$F:$F,"Posted"),"")</f>
        <v/>
      </c>
      <c r="I112" s="14"/>
    </row>
    <row r="113" customFormat="false" ht="15" hidden="false" customHeight="false" outlineLevel="0" collapsed="false">
      <c r="A113" s="12"/>
      <c r="B113" s="14"/>
      <c r="C113" s="12"/>
      <c r="D113" s="12"/>
      <c r="E113" s="14"/>
      <c r="F113" s="12"/>
      <c r="G113" s="12" t="n">
        <f aca="false">COUNTIF(Spots!$C:$C,$A113)</f>
        <v>0</v>
      </c>
      <c r="H113" s="13" t="str">
        <f aca="false">IFERROR(AVERAGEIFS(Spots!$K:$K,Spots!$C:$C,$A113,Spots!$F:$F,"Posted"),"")</f>
        <v/>
      </c>
      <c r="I113" s="14"/>
    </row>
    <row r="114" customFormat="false" ht="15" hidden="false" customHeight="false" outlineLevel="0" collapsed="false">
      <c r="A114" s="12"/>
      <c r="B114" s="14"/>
      <c r="C114" s="12"/>
      <c r="D114" s="12"/>
      <c r="E114" s="14"/>
      <c r="F114" s="12"/>
      <c r="G114" s="12" t="n">
        <f aca="false">COUNTIF(Spots!$C:$C,$A114)</f>
        <v>0</v>
      </c>
      <c r="H114" s="13" t="str">
        <f aca="false">IFERROR(AVERAGEIFS(Spots!$K:$K,Spots!$C:$C,$A114,Spots!$F:$F,"Posted"),"")</f>
        <v/>
      </c>
      <c r="I114" s="14"/>
    </row>
    <row r="115" customFormat="false" ht="15" hidden="false" customHeight="false" outlineLevel="0" collapsed="false">
      <c r="A115" s="12"/>
      <c r="B115" s="14"/>
      <c r="C115" s="12"/>
      <c r="D115" s="12"/>
      <c r="E115" s="14"/>
      <c r="F115" s="12"/>
      <c r="G115" s="12" t="n">
        <f aca="false">COUNTIF(Spots!$C:$C,$A115)</f>
        <v>0</v>
      </c>
      <c r="H115" s="13" t="str">
        <f aca="false">IFERROR(AVERAGEIFS(Spots!$K:$K,Spots!$C:$C,$A115,Spots!$F:$F,"Posted"),"")</f>
        <v/>
      </c>
      <c r="I115" s="14"/>
    </row>
    <row r="116" customFormat="false" ht="15" hidden="false" customHeight="false" outlineLevel="0" collapsed="false">
      <c r="A116" s="12"/>
      <c r="B116" s="14"/>
      <c r="C116" s="12"/>
      <c r="D116" s="12"/>
      <c r="E116" s="14"/>
      <c r="F116" s="12"/>
      <c r="G116" s="12" t="n">
        <f aca="false">COUNTIF(Spots!$C:$C,$A116)</f>
        <v>0</v>
      </c>
      <c r="H116" s="13" t="str">
        <f aca="false">IFERROR(AVERAGEIFS(Spots!$K:$K,Spots!$C:$C,$A116,Spots!$F:$F,"Posted"),"")</f>
        <v/>
      </c>
      <c r="I116" s="14"/>
    </row>
    <row r="117" customFormat="false" ht="15" hidden="false" customHeight="false" outlineLevel="0" collapsed="false">
      <c r="A117" s="12"/>
      <c r="B117" s="14"/>
      <c r="C117" s="12"/>
      <c r="D117" s="12"/>
      <c r="E117" s="14"/>
      <c r="F117" s="12"/>
      <c r="G117" s="12" t="n">
        <f aca="false">COUNTIF(Spots!$C:$C,$A117)</f>
        <v>0</v>
      </c>
      <c r="H117" s="13" t="str">
        <f aca="false">IFERROR(AVERAGEIFS(Spots!$K:$K,Spots!$C:$C,$A117,Spots!$F:$F,"Posted"),"")</f>
        <v/>
      </c>
      <c r="I117" s="14"/>
    </row>
    <row r="118" customFormat="false" ht="15" hidden="false" customHeight="false" outlineLevel="0" collapsed="false">
      <c r="A118" s="12"/>
      <c r="B118" s="14"/>
      <c r="C118" s="12"/>
      <c r="D118" s="12"/>
      <c r="E118" s="14"/>
      <c r="F118" s="12"/>
      <c r="G118" s="12" t="n">
        <f aca="false">COUNTIF(Spots!$C:$C,$A118)</f>
        <v>0</v>
      </c>
      <c r="H118" s="13" t="str">
        <f aca="false">IFERROR(AVERAGEIFS(Spots!$K:$K,Spots!$C:$C,$A118,Spots!$F:$F,"Posted"),"")</f>
        <v/>
      </c>
      <c r="I118" s="14"/>
    </row>
    <row r="119" customFormat="false" ht="15" hidden="false" customHeight="false" outlineLevel="0" collapsed="false">
      <c r="A119" s="12"/>
      <c r="B119" s="14"/>
      <c r="C119" s="12"/>
      <c r="D119" s="12"/>
      <c r="E119" s="14"/>
      <c r="F119" s="12"/>
      <c r="G119" s="12" t="n">
        <f aca="false">COUNTIF(Spots!$C:$C,$A119)</f>
        <v>0</v>
      </c>
      <c r="H119" s="13" t="str">
        <f aca="false">IFERROR(AVERAGEIFS(Spots!$K:$K,Spots!$C:$C,$A119,Spots!$F:$F,"Posted"),"")</f>
        <v/>
      </c>
      <c r="I119" s="14"/>
    </row>
    <row r="120" customFormat="false" ht="15" hidden="false" customHeight="false" outlineLevel="0" collapsed="false">
      <c r="A120" s="12"/>
      <c r="B120" s="14"/>
      <c r="C120" s="12"/>
      <c r="D120" s="12"/>
      <c r="E120" s="14"/>
      <c r="F120" s="12"/>
      <c r="G120" s="12" t="n">
        <f aca="false">COUNTIF(Spots!$C:$C,$A120)</f>
        <v>0</v>
      </c>
      <c r="H120" s="13" t="str">
        <f aca="false">IFERROR(AVERAGEIFS(Spots!$K:$K,Spots!$C:$C,$A120,Spots!$F:$F,"Posted"),"")</f>
        <v/>
      </c>
      <c r="I120" s="14"/>
    </row>
    <row r="121" customFormat="false" ht="15" hidden="false" customHeight="false" outlineLevel="0" collapsed="false">
      <c r="A121" s="12"/>
      <c r="B121" s="14"/>
      <c r="C121" s="12"/>
      <c r="D121" s="12"/>
      <c r="E121" s="14"/>
      <c r="F121" s="12"/>
      <c r="G121" s="12" t="n">
        <f aca="false">COUNTIF(Spots!$C:$C,$A121)</f>
        <v>0</v>
      </c>
      <c r="H121" s="13" t="str">
        <f aca="false">IFERROR(AVERAGEIFS(Spots!$K:$K,Spots!$C:$C,$A121,Spots!$F:$F,"Posted"),"")</f>
        <v/>
      </c>
      <c r="I121" s="14"/>
    </row>
    <row r="122" customFormat="false" ht="15" hidden="false" customHeight="false" outlineLevel="0" collapsed="false">
      <c r="A122" s="12"/>
      <c r="B122" s="14"/>
      <c r="C122" s="12"/>
      <c r="D122" s="12"/>
      <c r="E122" s="14"/>
      <c r="F122" s="12"/>
      <c r="G122" s="12" t="n">
        <f aca="false">COUNTIF(Spots!$C:$C,$A122)</f>
        <v>0</v>
      </c>
      <c r="H122" s="13" t="str">
        <f aca="false">IFERROR(AVERAGEIFS(Spots!$K:$K,Spots!$C:$C,$A122,Spots!$F:$F,"Posted"),"")</f>
        <v/>
      </c>
      <c r="I122" s="14"/>
    </row>
    <row r="123" customFormat="false" ht="15" hidden="false" customHeight="false" outlineLevel="0" collapsed="false">
      <c r="A123" s="12"/>
      <c r="B123" s="14"/>
      <c r="C123" s="12"/>
      <c r="D123" s="12"/>
      <c r="E123" s="14"/>
      <c r="F123" s="12"/>
      <c r="G123" s="12" t="n">
        <f aca="false">COUNTIF(Spots!$C:$C,$A123)</f>
        <v>0</v>
      </c>
      <c r="H123" s="13" t="str">
        <f aca="false">IFERROR(AVERAGEIFS(Spots!$K:$K,Spots!$C:$C,$A123,Spots!$F:$F,"Posted"),"")</f>
        <v/>
      </c>
      <c r="I123" s="14"/>
    </row>
    <row r="124" customFormat="false" ht="15" hidden="false" customHeight="false" outlineLevel="0" collapsed="false">
      <c r="A124" s="12"/>
      <c r="B124" s="14"/>
      <c r="C124" s="12"/>
      <c r="D124" s="12"/>
      <c r="E124" s="14"/>
      <c r="F124" s="12"/>
      <c r="G124" s="12" t="n">
        <f aca="false">COUNTIF(Spots!$C:$C,$A124)</f>
        <v>0</v>
      </c>
      <c r="H124" s="13" t="str">
        <f aca="false">IFERROR(AVERAGEIFS(Spots!$K:$K,Spots!$C:$C,$A124,Spots!$F:$F,"Posted"),"")</f>
        <v/>
      </c>
      <c r="I124" s="14"/>
    </row>
    <row r="125" customFormat="false" ht="15" hidden="false" customHeight="false" outlineLevel="0" collapsed="false">
      <c r="A125" s="12"/>
      <c r="B125" s="14"/>
      <c r="C125" s="12"/>
      <c r="D125" s="12"/>
      <c r="E125" s="14"/>
      <c r="F125" s="12"/>
      <c r="G125" s="12" t="n">
        <f aca="false">COUNTIF(Spots!$C:$C,$A125)</f>
        <v>0</v>
      </c>
      <c r="H125" s="13" t="str">
        <f aca="false">IFERROR(AVERAGEIFS(Spots!$K:$K,Spots!$C:$C,$A125,Spots!$F:$F,"Posted"),"")</f>
        <v/>
      </c>
      <c r="I125" s="14"/>
    </row>
    <row r="126" customFormat="false" ht="15" hidden="false" customHeight="false" outlineLevel="0" collapsed="false">
      <c r="A126" s="12"/>
      <c r="B126" s="14"/>
      <c r="C126" s="12"/>
      <c r="D126" s="12"/>
      <c r="E126" s="14"/>
      <c r="F126" s="12"/>
      <c r="G126" s="12" t="n">
        <f aca="false">COUNTIF(Spots!$C:$C,$A126)</f>
        <v>0</v>
      </c>
      <c r="H126" s="13" t="str">
        <f aca="false">IFERROR(AVERAGEIFS(Spots!$K:$K,Spots!$C:$C,$A126,Spots!$F:$F,"Posted"),"")</f>
        <v/>
      </c>
      <c r="I126" s="14"/>
    </row>
    <row r="127" customFormat="false" ht="15" hidden="false" customHeight="false" outlineLevel="0" collapsed="false">
      <c r="A127" s="12"/>
      <c r="B127" s="14"/>
      <c r="C127" s="12"/>
      <c r="D127" s="12"/>
      <c r="E127" s="14"/>
      <c r="F127" s="12"/>
      <c r="G127" s="12" t="n">
        <f aca="false">COUNTIF(Spots!$C:$C,$A127)</f>
        <v>0</v>
      </c>
      <c r="H127" s="13" t="str">
        <f aca="false">IFERROR(AVERAGEIFS(Spots!$K:$K,Spots!$C:$C,$A127,Spots!$F:$F,"Posted"),"")</f>
        <v/>
      </c>
      <c r="I127" s="14"/>
    </row>
    <row r="128" customFormat="false" ht="15" hidden="false" customHeight="false" outlineLevel="0" collapsed="false">
      <c r="A128" s="12"/>
      <c r="B128" s="14"/>
      <c r="C128" s="12"/>
      <c r="D128" s="12"/>
      <c r="E128" s="14"/>
      <c r="F128" s="12"/>
      <c r="G128" s="12" t="n">
        <f aca="false">COUNTIF(Spots!$C:$C,$A128)</f>
        <v>0</v>
      </c>
      <c r="H128" s="13" t="str">
        <f aca="false">IFERROR(AVERAGEIFS(Spots!$K:$K,Spots!$C:$C,$A128,Spots!$F:$F,"Posted"),"")</f>
        <v/>
      </c>
      <c r="I128" s="14"/>
    </row>
    <row r="129" customFormat="false" ht="15" hidden="false" customHeight="false" outlineLevel="0" collapsed="false">
      <c r="A129" s="12"/>
      <c r="B129" s="14"/>
      <c r="C129" s="12"/>
      <c r="D129" s="12"/>
      <c r="E129" s="14"/>
      <c r="F129" s="12"/>
      <c r="G129" s="12" t="n">
        <f aca="false">COUNTIF(Spots!$C:$C,$A129)</f>
        <v>0</v>
      </c>
      <c r="H129" s="13" t="str">
        <f aca="false">IFERROR(AVERAGEIFS(Spots!$K:$K,Spots!$C:$C,$A129,Spots!$F:$F,"Posted"),"")</f>
        <v/>
      </c>
      <c r="I129" s="14"/>
    </row>
    <row r="130" customFormat="false" ht="15" hidden="false" customHeight="false" outlineLevel="0" collapsed="false">
      <c r="A130" s="12"/>
      <c r="B130" s="14"/>
      <c r="C130" s="12"/>
      <c r="D130" s="12"/>
      <c r="E130" s="14"/>
      <c r="F130" s="12"/>
      <c r="G130" s="12" t="n">
        <f aca="false">COUNTIF(Spots!$C:$C,$A130)</f>
        <v>0</v>
      </c>
      <c r="H130" s="13" t="str">
        <f aca="false">IFERROR(AVERAGEIFS(Spots!$K:$K,Spots!$C:$C,$A130,Spots!$F:$F,"Posted"),"")</f>
        <v/>
      </c>
      <c r="I130" s="14"/>
    </row>
    <row r="131" customFormat="false" ht="15" hidden="false" customHeight="false" outlineLevel="0" collapsed="false">
      <c r="A131" s="12"/>
      <c r="B131" s="14"/>
      <c r="C131" s="12"/>
      <c r="D131" s="12"/>
      <c r="E131" s="14"/>
      <c r="F131" s="12"/>
      <c r="G131" s="12" t="n">
        <f aca="false">COUNTIF(Spots!$C:$C,$A131)</f>
        <v>0</v>
      </c>
      <c r="H131" s="13" t="str">
        <f aca="false">IFERROR(AVERAGEIFS(Spots!$K:$K,Spots!$C:$C,$A131,Spots!$F:$F,"Posted"),"")</f>
        <v/>
      </c>
      <c r="I131" s="14"/>
    </row>
    <row r="132" customFormat="false" ht="15" hidden="false" customHeight="false" outlineLevel="0" collapsed="false">
      <c r="A132" s="12"/>
      <c r="B132" s="14"/>
      <c r="C132" s="12"/>
      <c r="D132" s="12"/>
      <c r="E132" s="14"/>
      <c r="F132" s="12"/>
      <c r="G132" s="12" t="n">
        <f aca="false">COUNTIF(Spots!$C:$C,$A132)</f>
        <v>0</v>
      </c>
      <c r="H132" s="13" t="str">
        <f aca="false">IFERROR(AVERAGEIFS(Spots!$K:$K,Spots!$C:$C,$A132,Spots!$F:$F,"Posted"),"")</f>
        <v/>
      </c>
      <c r="I132" s="14"/>
    </row>
    <row r="133" customFormat="false" ht="15" hidden="false" customHeight="false" outlineLevel="0" collapsed="false">
      <c r="A133" s="12"/>
      <c r="B133" s="14"/>
      <c r="C133" s="12"/>
      <c r="D133" s="12"/>
      <c r="E133" s="14"/>
      <c r="F133" s="12"/>
      <c r="G133" s="12" t="n">
        <f aca="false">COUNTIF(Spots!$C:$C,$A133)</f>
        <v>0</v>
      </c>
      <c r="H133" s="13" t="str">
        <f aca="false">IFERROR(AVERAGEIFS(Spots!$K:$K,Spots!$C:$C,$A133,Spots!$F:$F,"Posted"),"")</f>
        <v/>
      </c>
      <c r="I133" s="14"/>
    </row>
    <row r="134" customFormat="false" ht="15" hidden="false" customHeight="false" outlineLevel="0" collapsed="false">
      <c r="A134" s="12"/>
      <c r="B134" s="14"/>
      <c r="C134" s="12"/>
      <c r="D134" s="12"/>
      <c r="E134" s="14"/>
      <c r="F134" s="12"/>
      <c r="G134" s="12" t="n">
        <f aca="false">COUNTIF(Spots!$C:$C,$A134)</f>
        <v>0</v>
      </c>
      <c r="H134" s="13" t="str">
        <f aca="false">IFERROR(AVERAGEIFS(Spots!$K:$K,Spots!$C:$C,$A134,Spots!$F:$F,"Posted"),"")</f>
        <v/>
      </c>
      <c r="I134" s="14"/>
    </row>
    <row r="135" customFormat="false" ht="15" hidden="false" customHeight="false" outlineLevel="0" collapsed="false">
      <c r="A135" s="12"/>
      <c r="B135" s="14"/>
      <c r="C135" s="12"/>
      <c r="D135" s="12"/>
      <c r="E135" s="14"/>
      <c r="F135" s="12"/>
      <c r="G135" s="12" t="n">
        <f aca="false">COUNTIF(Spots!$C:$C,$A135)</f>
        <v>0</v>
      </c>
      <c r="H135" s="13" t="str">
        <f aca="false">IFERROR(AVERAGEIFS(Spots!$K:$K,Spots!$C:$C,$A135,Spots!$F:$F,"Posted"),"")</f>
        <v/>
      </c>
      <c r="I135" s="14"/>
    </row>
    <row r="136" customFormat="false" ht="15" hidden="false" customHeight="false" outlineLevel="0" collapsed="false">
      <c r="A136" s="12"/>
      <c r="B136" s="14"/>
      <c r="C136" s="12"/>
      <c r="D136" s="12"/>
      <c r="E136" s="14"/>
      <c r="F136" s="12"/>
      <c r="G136" s="12" t="n">
        <f aca="false">COUNTIF(Spots!$C:$C,$A136)</f>
        <v>0</v>
      </c>
      <c r="H136" s="13" t="str">
        <f aca="false">IFERROR(AVERAGEIFS(Spots!$K:$K,Spots!$C:$C,$A136,Spots!$F:$F,"Posted"),"")</f>
        <v/>
      </c>
      <c r="I136" s="14"/>
    </row>
    <row r="137" customFormat="false" ht="15" hidden="false" customHeight="false" outlineLevel="0" collapsed="false">
      <c r="A137" s="12"/>
      <c r="B137" s="14"/>
      <c r="C137" s="12"/>
      <c r="D137" s="12"/>
      <c r="E137" s="14"/>
      <c r="F137" s="12"/>
      <c r="G137" s="12" t="n">
        <f aca="false">COUNTIF(Spots!$C:$C,$A137)</f>
        <v>0</v>
      </c>
      <c r="H137" s="13" t="str">
        <f aca="false">IFERROR(AVERAGEIFS(Spots!$K:$K,Spots!$C:$C,$A137,Spots!$F:$F,"Posted"),"")</f>
        <v/>
      </c>
      <c r="I137" s="14"/>
    </row>
    <row r="138" customFormat="false" ht="15" hidden="false" customHeight="false" outlineLevel="0" collapsed="false">
      <c r="A138" s="12"/>
      <c r="B138" s="14"/>
      <c r="C138" s="12"/>
      <c r="D138" s="12"/>
      <c r="E138" s="14"/>
      <c r="F138" s="12"/>
      <c r="G138" s="12" t="n">
        <f aca="false">COUNTIF(Spots!$C:$C,$A138)</f>
        <v>0</v>
      </c>
      <c r="H138" s="13" t="str">
        <f aca="false">IFERROR(AVERAGEIFS(Spots!$K:$K,Spots!$C:$C,$A138,Spots!$F:$F,"Posted"),"")</f>
        <v/>
      </c>
      <c r="I138" s="14"/>
    </row>
    <row r="139" customFormat="false" ht="15" hidden="false" customHeight="false" outlineLevel="0" collapsed="false">
      <c r="A139" s="12"/>
      <c r="B139" s="14"/>
      <c r="C139" s="12"/>
      <c r="D139" s="12"/>
      <c r="E139" s="14"/>
      <c r="F139" s="12"/>
      <c r="G139" s="12" t="n">
        <f aca="false">COUNTIF(Spots!$C:$C,$A139)</f>
        <v>0</v>
      </c>
      <c r="H139" s="13" t="str">
        <f aca="false">IFERROR(AVERAGEIFS(Spots!$K:$K,Spots!$C:$C,$A139,Spots!$F:$F,"Posted"),"")</f>
        <v/>
      </c>
      <c r="I139" s="14"/>
    </row>
    <row r="140" customFormat="false" ht="15" hidden="false" customHeight="false" outlineLevel="0" collapsed="false">
      <c r="A140" s="12"/>
      <c r="B140" s="14"/>
      <c r="C140" s="12"/>
      <c r="D140" s="12"/>
      <c r="E140" s="14"/>
      <c r="F140" s="12"/>
      <c r="G140" s="12" t="n">
        <f aca="false">COUNTIF(Spots!$C:$C,$A140)</f>
        <v>0</v>
      </c>
      <c r="H140" s="13" t="str">
        <f aca="false">IFERROR(AVERAGEIFS(Spots!$K:$K,Spots!$C:$C,$A140,Spots!$F:$F,"Posted"),"")</f>
        <v/>
      </c>
      <c r="I140" s="14"/>
    </row>
    <row r="141" customFormat="false" ht="15" hidden="false" customHeight="false" outlineLevel="0" collapsed="false">
      <c r="A141" s="12"/>
      <c r="B141" s="14"/>
      <c r="C141" s="12"/>
      <c r="D141" s="12"/>
      <c r="E141" s="14"/>
      <c r="F141" s="12"/>
      <c r="G141" s="12" t="n">
        <f aca="false">COUNTIF(Spots!$C:$C,$A141)</f>
        <v>0</v>
      </c>
      <c r="H141" s="13" t="str">
        <f aca="false">IFERROR(AVERAGEIFS(Spots!$K:$K,Spots!$C:$C,$A141,Spots!$F:$F,"Posted"),"")</f>
        <v/>
      </c>
      <c r="I141" s="14"/>
    </row>
    <row r="142" customFormat="false" ht="15" hidden="false" customHeight="false" outlineLevel="0" collapsed="false">
      <c r="A142" s="12"/>
      <c r="B142" s="14"/>
      <c r="C142" s="12"/>
      <c r="D142" s="12"/>
      <c r="E142" s="14"/>
      <c r="F142" s="12"/>
      <c r="G142" s="12" t="n">
        <f aca="false">COUNTIF(Spots!$C:$C,$A142)</f>
        <v>0</v>
      </c>
      <c r="H142" s="13" t="str">
        <f aca="false">IFERROR(AVERAGEIFS(Spots!$K:$K,Spots!$C:$C,$A142,Spots!$F:$F,"Posted"),"")</f>
        <v/>
      </c>
      <c r="I142" s="14"/>
    </row>
    <row r="143" customFormat="false" ht="15" hidden="false" customHeight="false" outlineLevel="0" collapsed="false">
      <c r="A143" s="12"/>
      <c r="B143" s="14"/>
      <c r="C143" s="12"/>
      <c r="D143" s="12"/>
      <c r="E143" s="14"/>
      <c r="F143" s="12"/>
      <c r="G143" s="12" t="n">
        <f aca="false">COUNTIF(Spots!$C:$C,$A143)</f>
        <v>0</v>
      </c>
      <c r="H143" s="13" t="str">
        <f aca="false">IFERROR(AVERAGEIFS(Spots!$K:$K,Spots!$C:$C,$A143,Spots!$F:$F,"Posted"),"")</f>
        <v/>
      </c>
      <c r="I143" s="14"/>
    </row>
    <row r="144" customFormat="false" ht="15" hidden="false" customHeight="false" outlineLevel="0" collapsed="false">
      <c r="A144" s="12"/>
      <c r="B144" s="14"/>
      <c r="C144" s="12"/>
      <c r="D144" s="12"/>
      <c r="E144" s="14"/>
      <c r="F144" s="12"/>
      <c r="G144" s="12" t="n">
        <f aca="false">COUNTIF(Spots!$C:$C,$A144)</f>
        <v>0</v>
      </c>
      <c r="H144" s="13" t="str">
        <f aca="false">IFERROR(AVERAGEIFS(Spots!$K:$K,Spots!$C:$C,$A144,Spots!$F:$F,"Posted"),"")</f>
        <v/>
      </c>
      <c r="I144" s="14"/>
    </row>
    <row r="145" customFormat="false" ht="15" hidden="false" customHeight="false" outlineLevel="0" collapsed="false">
      <c r="A145" s="12"/>
      <c r="B145" s="14"/>
      <c r="C145" s="12"/>
      <c r="D145" s="12"/>
      <c r="E145" s="14"/>
      <c r="F145" s="12"/>
      <c r="G145" s="12" t="n">
        <f aca="false">COUNTIF(Spots!$C:$C,$A145)</f>
        <v>0</v>
      </c>
      <c r="H145" s="13" t="str">
        <f aca="false">IFERROR(AVERAGEIFS(Spots!$K:$K,Spots!$C:$C,$A145,Spots!$F:$F,"Posted"),"")</f>
        <v/>
      </c>
      <c r="I145" s="14"/>
    </row>
    <row r="146" customFormat="false" ht="15" hidden="false" customHeight="false" outlineLevel="0" collapsed="false">
      <c r="A146" s="12"/>
      <c r="B146" s="14"/>
      <c r="C146" s="12"/>
      <c r="D146" s="12"/>
      <c r="E146" s="14"/>
      <c r="F146" s="12"/>
      <c r="G146" s="12" t="n">
        <f aca="false">COUNTIF(Spots!$C:$C,$A146)</f>
        <v>0</v>
      </c>
      <c r="H146" s="13" t="str">
        <f aca="false">IFERROR(AVERAGEIFS(Spots!$K:$K,Spots!$C:$C,$A146,Spots!$F:$F,"Posted"),"")</f>
        <v/>
      </c>
      <c r="I146" s="14"/>
    </row>
    <row r="147" customFormat="false" ht="15" hidden="false" customHeight="false" outlineLevel="0" collapsed="false">
      <c r="A147" s="12"/>
      <c r="B147" s="14"/>
      <c r="C147" s="12"/>
      <c r="D147" s="12"/>
      <c r="E147" s="14"/>
      <c r="F147" s="12"/>
      <c r="G147" s="12" t="n">
        <f aca="false">COUNTIF(Spots!$C:$C,$A147)</f>
        <v>0</v>
      </c>
      <c r="H147" s="13" t="str">
        <f aca="false">IFERROR(AVERAGEIFS(Spots!$K:$K,Spots!$C:$C,$A147,Spots!$F:$F,"Posted"),"")</f>
        <v/>
      </c>
      <c r="I147" s="14"/>
    </row>
    <row r="148" customFormat="false" ht="15" hidden="false" customHeight="false" outlineLevel="0" collapsed="false">
      <c r="A148" s="12"/>
      <c r="B148" s="14"/>
      <c r="C148" s="12"/>
      <c r="D148" s="12"/>
      <c r="E148" s="14"/>
      <c r="F148" s="12"/>
      <c r="G148" s="12" t="n">
        <f aca="false">COUNTIF(Spots!$C:$C,$A148)</f>
        <v>0</v>
      </c>
      <c r="H148" s="13" t="str">
        <f aca="false">IFERROR(AVERAGEIFS(Spots!$K:$K,Spots!$C:$C,$A148,Spots!$F:$F,"Posted"),"")</f>
        <v/>
      </c>
      <c r="I148" s="14"/>
    </row>
    <row r="149" customFormat="false" ht="15" hidden="false" customHeight="false" outlineLevel="0" collapsed="false">
      <c r="A149" s="12"/>
      <c r="B149" s="14"/>
      <c r="C149" s="12"/>
      <c r="D149" s="12"/>
      <c r="E149" s="14"/>
      <c r="F149" s="12"/>
      <c r="G149" s="12" t="n">
        <f aca="false">COUNTIF(Spots!$C:$C,$A149)</f>
        <v>0</v>
      </c>
      <c r="H149" s="13" t="str">
        <f aca="false">IFERROR(AVERAGEIFS(Spots!$K:$K,Spots!$C:$C,$A149,Spots!$F:$F,"Posted"),"")</f>
        <v/>
      </c>
      <c r="I149" s="14"/>
    </row>
    <row r="150" customFormat="false" ht="15" hidden="false" customHeight="false" outlineLevel="0" collapsed="false">
      <c r="A150" s="12"/>
      <c r="B150" s="14"/>
      <c r="C150" s="12"/>
      <c r="D150" s="12"/>
      <c r="E150" s="14"/>
      <c r="F150" s="12"/>
      <c r="G150" s="12" t="n">
        <f aca="false">COUNTIF(Spots!$C:$C,$A150)</f>
        <v>0</v>
      </c>
      <c r="H150" s="13" t="str">
        <f aca="false">IFERROR(AVERAGEIFS(Spots!$K:$K,Spots!$C:$C,$A150,Spots!$F:$F,"Posted"),"")</f>
        <v/>
      </c>
      <c r="I150" s="14"/>
    </row>
    <row r="151" customFormat="false" ht="15" hidden="false" customHeight="false" outlineLevel="0" collapsed="false">
      <c r="A151" s="12"/>
      <c r="B151" s="14"/>
      <c r="C151" s="12"/>
      <c r="D151" s="12"/>
      <c r="E151" s="14"/>
      <c r="F151" s="12"/>
      <c r="G151" s="12" t="n">
        <f aca="false">COUNTIF(Spots!$C:$C,$A151)</f>
        <v>0</v>
      </c>
      <c r="H151" s="13" t="str">
        <f aca="false">IFERROR(AVERAGEIFS(Spots!$K:$K,Spots!$C:$C,$A151,Spots!$F:$F,"Posted"),"")</f>
        <v/>
      </c>
      <c r="I151" s="14"/>
    </row>
    <row r="152" customFormat="false" ht="15" hidden="false" customHeight="false" outlineLevel="0" collapsed="false">
      <c r="A152" s="12"/>
      <c r="B152" s="14"/>
      <c r="C152" s="12"/>
      <c r="D152" s="12"/>
      <c r="E152" s="14"/>
      <c r="F152" s="12"/>
      <c r="G152" s="12" t="n">
        <f aca="false">COUNTIF(Spots!$C:$C,$A152)</f>
        <v>0</v>
      </c>
      <c r="H152" s="13" t="str">
        <f aca="false">IFERROR(AVERAGEIFS(Spots!$K:$K,Spots!$C:$C,$A152,Spots!$F:$F,"Posted"),"")</f>
        <v/>
      </c>
      <c r="I152" s="14"/>
    </row>
    <row r="153" customFormat="false" ht="15" hidden="false" customHeight="false" outlineLevel="0" collapsed="false">
      <c r="A153" s="12"/>
      <c r="B153" s="14"/>
      <c r="C153" s="12"/>
      <c r="D153" s="12"/>
      <c r="E153" s="14"/>
      <c r="F153" s="12"/>
      <c r="G153" s="12" t="n">
        <f aca="false">COUNTIF(Spots!$C:$C,$A153)</f>
        <v>0</v>
      </c>
      <c r="H153" s="13" t="str">
        <f aca="false">IFERROR(AVERAGEIFS(Spots!$K:$K,Spots!$C:$C,$A153,Spots!$F:$F,"Posted"),"")</f>
        <v/>
      </c>
      <c r="I153" s="14"/>
    </row>
    <row r="154" customFormat="false" ht="15" hidden="false" customHeight="false" outlineLevel="0" collapsed="false">
      <c r="A154" s="12"/>
      <c r="B154" s="14"/>
      <c r="C154" s="12"/>
      <c r="D154" s="12"/>
      <c r="E154" s="14"/>
      <c r="F154" s="12"/>
      <c r="G154" s="12" t="n">
        <f aca="false">COUNTIF(Spots!$C:$C,$A154)</f>
        <v>0</v>
      </c>
      <c r="H154" s="13" t="str">
        <f aca="false">IFERROR(AVERAGEIFS(Spots!$K:$K,Spots!$C:$C,$A154,Spots!$F:$F,"Posted"),"")</f>
        <v/>
      </c>
      <c r="I154" s="14"/>
    </row>
    <row r="155" customFormat="false" ht="15" hidden="false" customHeight="false" outlineLevel="0" collapsed="false">
      <c r="A155" s="12"/>
      <c r="B155" s="14"/>
      <c r="C155" s="12"/>
      <c r="D155" s="12"/>
      <c r="E155" s="14"/>
      <c r="F155" s="12"/>
      <c r="G155" s="12" t="n">
        <f aca="false">COUNTIF(Spots!$C:$C,$A155)</f>
        <v>0</v>
      </c>
      <c r="H155" s="13" t="str">
        <f aca="false">IFERROR(AVERAGEIFS(Spots!$K:$K,Spots!$C:$C,$A155,Spots!$F:$F,"Posted"),"")</f>
        <v/>
      </c>
      <c r="I155" s="14"/>
    </row>
    <row r="156" customFormat="false" ht="15" hidden="false" customHeight="false" outlineLevel="0" collapsed="false">
      <c r="A156" s="12"/>
      <c r="B156" s="14"/>
      <c r="C156" s="12"/>
      <c r="D156" s="12"/>
      <c r="E156" s="14"/>
      <c r="F156" s="12"/>
      <c r="G156" s="12" t="n">
        <f aca="false">COUNTIF(Spots!$C:$C,$A156)</f>
        <v>0</v>
      </c>
      <c r="H156" s="13" t="str">
        <f aca="false">IFERROR(AVERAGEIFS(Spots!$K:$K,Spots!$C:$C,$A156,Spots!$F:$F,"Posted"),"")</f>
        <v/>
      </c>
      <c r="I156" s="14"/>
    </row>
    <row r="157" customFormat="false" ht="15" hidden="false" customHeight="false" outlineLevel="0" collapsed="false">
      <c r="A157" s="12"/>
      <c r="B157" s="14"/>
      <c r="C157" s="12"/>
      <c r="D157" s="12"/>
      <c r="E157" s="14"/>
      <c r="F157" s="12"/>
      <c r="G157" s="12" t="n">
        <f aca="false">COUNTIF(Spots!$C:$C,$A157)</f>
        <v>0</v>
      </c>
      <c r="H157" s="13" t="str">
        <f aca="false">IFERROR(AVERAGEIFS(Spots!$K:$K,Spots!$C:$C,$A157,Spots!$F:$F,"Posted"),"")</f>
        <v/>
      </c>
      <c r="I157" s="14"/>
    </row>
    <row r="158" customFormat="false" ht="15" hidden="false" customHeight="false" outlineLevel="0" collapsed="false">
      <c r="A158" s="12"/>
      <c r="B158" s="14"/>
      <c r="C158" s="12"/>
      <c r="D158" s="12"/>
      <c r="E158" s="14"/>
      <c r="F158" s="12"/>
      <c r="G158" s="12" t="n">
        <f aca="false">COUNTIF(Spots!$C:$C,$A158)</f>
        <v>0</v>
      </c>
      <c r="H158" s="13" t="str">
        <f aca="false">IFERROR(AVERAGEIFS(Spots!$K:$K,Spots!$C:$C,$A158,Spots!$F:$F,"Posted"),"")</f>
        <v/>
      </c>
      <c r="I158" s="14"/>
    </row>
    <row r="159" customFormat="false" ht="15" hidden="false" customHeight="false" outlineLevel="0" collapsed="false">
      <c r="A159" s="12"/>
      <c r="B159" s="14"/>
      <c r="C159" s="12"/>
      <c r="D159" s="12"/>
      <c r="E159" s="14"/>
      <c r="F159" s="12"/>
      <c r="G159" s="12" t="n">
        <f aca="false">COUNTIF(Spots!$C:$C,$A159)</f>
        <v>0</v>
      </c>
      <c r="H159" s="13" t="str">
        <f aca="false">IFERROR(AVERAGEIFS(Spots!$K:$K,Spots!$C:$C,$A159,Spots!$F:$F,"Posted"),"")</f>
        <v/>
      </c>
      <c r="I159" s="14"/>
    </row>
    <row r="160" customFormat="false" ht="15" hidden="false" customHeight="false" outlineLevel="0" collapsed="false">
      <c r="A160" s="12"/>
      <c r="B160" s="14"/>
      <c r="C160" s="12"/>
      <c r="D160" s="12"/>
      <c r="E160" s="14"/>
      <c r="F160" s="12"/>
      <c r="G160" s="12" t="n">
        <f aca="false">COUNTIF(Spots!$C:$C,$A160)</f>
        <v>0</v>
      </c>
      <c r="H160" s="13" t="str">
        <f aca="false">IFERROR(AVERAGEIFS(Spots!$K:$K,Spots!$C:$C,$A160,Spots!$F:$F,"Posted"),"")</f>
        <v/>
      </c>
      <c r="I160" s="14"/>
    </row>
    <row r="161" customFormat="false" ht="15" hidden="false" customHeight="false" outlineLevel="0" collapsed="false">
      <c r="A161" s="12"/>
      <c r="B161" s="14"/>
      <c r="C161" s="12"/>
      <c r="D161" s="12"/>
      <c r="E161" s="14"/>
      <c r="F161" s="12"/>
      <c r="G161" s="12" t="n">
        <f aca="false">COUNTIF(Spots!$C:$C,$A161)</f>
        <v>0</v>
      </c>
      <c r="H161" s="13" t="str">
        <f aca="false">IFERROR(AVERAGEIFS(Spots!$K:$K,Spots!$C:$C,$A161,Spots!$F:$F,"Posted"),"")</f>
        <v/>
      </c>
      <c r="I161" s="14"/>
    </row>
    <row r="162" customFormat="false" ht="15" hidden="false" customHeight="false" outlineLevel="0" collapsed="false">
      <c r="A162" s="12"/>
      <c r="B162" s="14"/>
      <c r="C162" s="12"/>
      <c r="D162" s="12"/>
      <c r="E162" s="14"/>
      <c r="F162" s="12"/>
      <c r="G162" s="12" t="n">
        <f aca="false">COUNTIF(Spots!$C:$C,$A162)</f>
        <v>0</v>
      </c>
      <c r="H162" s="13" t="str">
        <f aca="false">IFERROR(AVERAGEIFS(Spots!$K:$K,Spots!$C:$C,$A162,Spots!$F:$F,"Posted"),"")</f>
        <v/>
      </c>
      <c r="I162" s="14"/>
    </row>
    <row r="163" customFormat="false" ht="15" hidden="false" customHeight="false" outlineLevel="0" collapsed="false">
      <c r="A163" s="12"/>
      <c r="B163" s="14"/>
      <c r="C163" s="12"/>
      <c r="D163" s="12"/>
      <c r="E163" s="14"/>
      <c r="F163" s="12"/>
      <c r="G163" s="12" t="n">
        <f aca="false">COUNTIF(Spots!$C:$C,$A163)</f>
        <v>0</v>
      </c>
      <c r="H163" s="13" t="str">
        <f aca="false">IFERROR(AVERAGEIFS(Spots!$K:$K,Spots!$C:$C,$A163,Spots!$F:$F,"Posted"),"")</f>
        <v/>
      </c>
      <c r="I163" s="14"/>
    </row>
    <row r="164" customFormat="false" ht="15" hidden="false" customHeight="false" outlineLevel="0" collapsed="false">
      <c r="A164" s="12"/>
      <c r="B164" s="14"/>
      <c r="C164" s="12"/>
      <c r="D164" s="12"/>
      <c r="E164" s="14"/>
      <c r="F164" s="12"/>
      <c r="G164" s="12" t="n">
        <f aca="false">COUNTIF(Spots!$C:$C,$A164)</f>
        <v>0</v>
      </c>
      <c r="H164" s="13" t="str">
        <f aca="false">IFERROR(AVERAGEIFS(Spots!$K:$K,Spots!$C:$C,$A164,Spots!$F:$F,"Posted"),"")</f>
        <v/>
      </c>
      <c r="I164" s="14"/>
    </row>
    <row r="165" customFormat="false" ht="15" hidden="false" customHeight="false" outlineLevel="0" collapsed="false">
      <c r="A165" s="12"/>
      <c r="B165" s="14"/>
      <c r="C165" s="12"/>
      <c r="D165" s="12"/>
      <c r="E165" s="14"/>
      <c r="F165" s="12"/>
      <c r="G165" s="12" t="n">
        <f aca="false">COUNTIF(Spots!$C:$C,$A165)</f>
        <v>0</v>
      </c>
      <c r="H165" s="13" t="str">
        <f aca="false">IFERROR(AVERAGEIFS(Spots!$K:$K,Spots!$C:$C,$A165,Spots!$F:$F,"Posted"),"")</f>
        <v/>
      </c>
      <c r="I165" s="14"/>
    </row>
    <row r="166" customFormat="false" ht="15" hidden="false" customHeight="false" outlineLevel="0" collapsed="false">
      <c r="A166" s="12"/>
      <c r="B166" s="14"/>
      <c r="C166" s="12"/>
      <c r="D166" s="12"/>
      <c r="E166" s="14"/>
      <c r="F166" s="12"/>
      <c r="G166" s="12" t="n">
        <f aca="false">COUNTIF(Spots!$C:$C,$A166)</f>
        <v>0</v>
      </c>
      <c r="H166" s="13" t="str">
        <f aca="false">IFERROR(AVERAGEIFS(Spots!$K:$K,Spots!$C:$C,$A166,Spots!$F:$F,"Posted"),"")</f>
        <v/>
      </c>
      <c r="I166" s="14"/>
    </row>
    <row r="167" customFormat="false" ht="15" hidden="false" customHeight="false" outlineLevel="0" collapsed="false">
      <c r="A167" s="12"/>
      <c r="B167" s="14"/>
      <c r="C167" s="12"/>
      <c r="D167" s="12"/>
      <c r="E167" s="14"/>
      <c r="F167" s="12"/>
      <c r="G167" s="12" t="n">
        <f aca="false">COUNTIF(Spots!$C:$C,$A167)</f>
        <v>0</v>
      </c>
      <c r="H167" s="13" t="str">
        <f aca="false">IFERROR(AVERAGEIFS(Spots!$K:$K,Spots!$C:$C,$A167,Spots!$F:$F,"Posted"),"")</f>
        <v/>
      </c>
      <c r="I167" s="14"/>
    </row>
    <row r="168" customFormat="false" ht="15" hidden="false" customHeight="false" outlineLevel="0" collapsed="false">
      <c r="A168" s="12"/>
      <c r="B168" s="14"/>
      <c r="C168" s="12"/>
      <c r="D168" s="12"/>
      <c r="E168" s="14"/>
      <c r="F168" s="12"/>
      <c r="G168" s="12" t="n">
        <f aca="false">COUNTIF(Spots!$C:$C,$A168)</f>
        <v>0</v>
      </c>
      <c r="H168" s="13" t="str">
        <f aca="false">IFERROR(AVERAGEIFS(Spots!$K:$K,Spots!$C:$C,$A168,Spots!$F:$F,"Posted"),"")</f>
        <v/>
      </c>
      <c r="I168" s="14"/>
    </row>
    <row r="169" customFormat="false" ht="15" hidden="false" customHeight="false" outlineLevel="0" collapsed="false">
      <c r="A169" s="12"/>
      <c r="B169" s="14"/>
      <c r="C169" s="12"/>
      <c r="D169" s="12"/>
      <c r="E169" s="14"/>
      <c r="F169" s="12"/>
      <c r="G169" s="12" t="n">
        <f aca="false">COUNTIF(Spots!$C:$C,$A169)</f>
        <v>0</v>
      </c>
      <c r="H169" s="13" t="str">
        <f aca="false">IFERROR(AVERAGEIFS(Spots!$K:$K,Spots!$C:$C,$A169,Spots!$F:$F,"Posted"),"")</f>
        <v/>
      </c>
      <c r="I169" s="14"/>
    </row>
    <row r="170" customFormat="false" ht="15" hidden="false" customHeight="false" outlineLevel="0" collapsed="false">
      <c r="A170" s="12"/>
      <c r="B170" s="14"/>
      <c r="C170" s="12"/>
      <c r="D170" s="12"/>
      <c r="E170" s="14"/>
      <c r="F170" s="12"/>
      <c r="G170" s="12" t="n">
        <f aca="false">COUNTIF(Spots!$C:$C,$A170)</f>
        <v>0</v>
      </c>
      <c r="H170" s="13" t="str">
        <f aca="false">IFERROR(AVERAGEIFS(Spots!$K:$K,Spots!$C:$C,$A170,Spots!$F:$F,"Posted"),"")</f>
        <v/>
      </c>
      <c r="I170" s="14"/>
    </row>
    <row r="171" customFormat="false" ht="15" hidden="false" customHeight="false" outlineLevel="0" collapsed="false">
      <c r="A171" s="12"/>
      <c r="B171" s="14"/>
      <c r="C171" s="12"/>
      <c r="D171" s="12"/>
      <c r="E171" s="14"/>
      <c r="F171" s="12"/>
      <c r="G171" s="12" t="n">
        <f aca="false">COUNTIF(Spots!$C:$C,$A171)</f>
        <v>0</v>
      </c>
      <c r="H171" s="13" t="str">
        <f aca="false">IFERROR(AVERAGEIFS(Spots!$K:$K,Spots!$C:$C,$A171,Spots!$F:$F,"Posted"),"")</f>
        <v/>
      </c>
      <c r="I171" s="14"/>
    </row>
    <row r="172" customFormat="false" ht="15" hidden="false" customHeight="false" outlineLevel="0" collapsed="false">
      <c r="A172" s="12"/>
      <c r="B172" s="14"/>
      <c r="C172" s="12"/>
      <c r="D172" s="12"/>
      <c r="E172" s="14"/>
      <c r="F172" s="12"/>
      <c r="G172" s="12" t="n">
        <f aca="false">COUNTIF(Spots!$C:$C,$A172)</f>
        <v>0</v>
      </c>
      <c r="H172" s="13" t="str">
        <f aca="false">IFERROR(AVERAGEIFS(Spots!$K:$K,Spots!$C:$C,$A172,Spots!$F:$F,"Posted"),"")</f>
        <v/>
      </c>
      <c r="I172" s="14"/>
    </row>
    <row r="173" customFormat="false" ht="15" hidden="false" customHeight="false" outlineLevel="0" collapsed="false">
      <c r="A173" s="12"/>
      <c r="B173" s="14"/>
      <c r="C173" s="12"/>
      <c r="D173" s="12"/>
      <c r="E173" s="14"/>
      <c r="F173" s="12"/>
      <c r="G173" s="12" t="n">
        <f aca="false">COUNTIF(Spots!$C:$C,$A173)</f>
        <v>0</v>
      </c>
      <c r="H173" s="13" t="str">
        <f aca="false">IFERROR(AVERAGEIFS(Spots!$K:$K,Spots!$C:$C,$A173,Spots!$F:$F,"Posted"),"")</f>
        <v/>
      </c>
      <c r="I173" s="14"/>
    </row>
    <row r="174" customFormat="false" ht="15" hidden="false" customHeight="false" outlineLevel="0" collapsed="false">
      <c r="A174" s="12"/>
      <c r="B174" s="14"/>
      <c r="C174" s="12"/>
      <c r="D174" s="12"/>
      <c r="E174" s="14"/>
      <c r="F174" s="12"/>
      <c r="G174" s="12" t="n">
        <f aca="false">COUNTIF(Spots!$C:$C,$A174)</f>
        <v>0</v>
      </c>
      <c r="H174" s="13" t="str">
        <f aca="false">IFERROR(AVERAGEIFS(Spots!$K:$K,Spots!$C:$C,$A174,Spots!$F:$F,"Posted"),"")</f>
        <v/>
      </c>
      <c r="I174" s="14"/>
    </row>
    <row r="175" customFormat="false" ht="15" hidden="false" customHeight="false" outlineLevel="0" collapsed="false">
      <c r="A175" s="12"/>
      <c r="B175" s="14"/>
      <c r="C175" s="12"/>
      <c r="D175" s="12"/>
      <c r="E175" s="14"/>
      <c r="F175" s="12"/>
      <c r="G175" s="12" t="n">
        <f aca="false">COUNTIF(Spots!$C:$C,$A175)</f>
        <v>0</v>
      </c>
      <c r="H175" s="13" t="str">
        <f aca="false">IFERROR(AVERAGEIFS(Spots!$K:$K,Spots!$C:$C,$A175,Spots!$F:$F,"Posted"),"")</f>
        <v/>
      </c>
      <c r="I175" s="14"/>
    </row>
    <row r="176" customFormat="false" ht="15" hidden="false" customHeight="false" outlineLevel="0" collapsed="false">
      <c r="A176" s="12"/>
      <c r="B176" s="14"/>
      <c r="C176" s="12"/>
      <c r="D176" s="12"/>
      <c r="E176" s="14"/>
      <c r="F176" s="12"/>
      <c r="G176" s="12" t="n">
        <f aca="false">COUNTIF(Spots!$C:$C,$A176)</f>
        <v>0</v>
      </c>
      <c r="H176" s="13" t="str">
        <f aca="false">IFERROR(AVERAGEIFS(Spots!$K:$K,Spots!$C:$C,$A176,Spots!$F:$F,"Posted"),"")</f>
        <v/>
      </c>
      <c r="I176" s="14"/>
    </row>
    <row r="177" customFormat="false" ht="15" hidden="false" customHeight="false" outlineLevel="0" collapsed="false">
      <c r="A177" s="12"/>
      <c r="B177" s="14"/>
      <c r="C177" s="12"/>
      <c r="D177" s="12"/>
      <c r="E177" s="14"/>
      <c r="F177" s="12"/>
      <c r="G177" s="12" t="n">
        <f aca="false">COUNTIF(Spots!$C:$C,$A177)</f>
        <v>0</v>
      </c>
      <c r="H177" s="13" t="str">
        <f aca="false">IFERROR(AVERAGEIFS(Spots!$K:$K,Spots!$C:$C,$A177,Spots!$F:$F,"Posted"),"")</f>
        <v/>
      </c>
      <c r="I177" s="14"/>
    </row>
    <row r="178" customFormat="false" ht="15" hidden="false" customHeight="false" outlineLevel="0" collapsed="false">
      <c r="A178" s="12"/>
      <c r="B178" s="14"/>
      <c r="C178" s="12"/>
      <c r="D178" s="12"/>
      <c r="E178" s="14"/>
      <c r="F178" s="12"/>
      <c r="G178" s="12" t="n">
        <f aca="false">COUNTIF(Spots!$C:$C,$A178)</f>
        <v>0</v>
      </c>
      <c r="H178" s="13" t="str">
        <f aca="false">IFERROR(AVERAGEIFS(Spots!$K:$K,Spots!$C:$C,$A178,Spots!$F:$F,"Posted"),"")</f>
        <v/>
      </c>
      <c r="I178" s="14"/>
    </row>
    <row r="179" customFormat="false" ht="15" hidden="false" customHeight="false" outlineLevel="0" collapsed="false">
      <c r="A179" s="12"/>
      <c r="B179" s="14"/>
      <c r="C179" s="12"/>
      <c r="D179" s="12"/>
      <c r="E179" s="14"/>
      <c r="F179" s="12"/>
      <c r="G179" s="12" t="n">
        <f aca="false">COUNTIF(Spots!$C:$C,$A179)</f>
        <v>0</v>
      </c>
      <c r="H179" s="13" t="str">
        <f aca="false">IFERROR(AVERAGEIFS(Spots!$K:$K,Spots!$C:$C,$A179,Spots!$F:$F,"Posted"),"")</f>
        <v/>
      </c>
      <c r="I179" s="14"/>
    </row>
    <row r="180" customFormat="false" ht="15" hidden="false" customHeight="false" outlineLevel="0" collapsed="false">
      <c r="A180" s="12"/>
      <c r="B180" s="14"/>
      <c r="C180" s="12"/>
      <c r="D180" s="12"/>
      <c r="E180" s="14"/>
      <c r="F180" s="12"/>
      <c r="G180" s="12" t="n">
        <f aca="false">COUNTIF(Spots!$C:$C,$A180)</f>
        <v>0</v>
      </c>
      <c r="H180" s="13" t="str">
        <f aca="false">IFERROR(AVERAGEIFS(Spots!$K:$K,Spots!$C:$C,$A180,Spots!$F:$F,"Posted"),"")</f>
        <v/>
      </c>
      <c r="I180" s="14"/>
    </row>
    <row r="181" customFormat="false" ht="15" hidden="false" customHeight="false" outlineLevel="0" collapsed="false">
      <c r="A181" s="12"/>
      <c r="B181" s="14"/>
      <c r="C181" s="12"/>
      <c r="D181" s="12"/>
      <c r="E181" s="14"/>
      <c r="F181" s="12"/>
      <c r="G181" s="12" t="n">
        <f aca="false">COUNTIF(Spots!$C:$C,$A181)</f>
        <v>0</v>
      </c>
      <c r="H181" s="13" t="str">
        <f aca="false">IFERROR(AVERAGEIFS(Spots!$K:$K,Spots!$C:$C,$A181,Spots!$F:$F,"Posted"),"")</f>
        <v/>
      </c>
      <c r="I181" s="14"/>
    </row>
    <row r="182" customFormat="false" ht="15" hidden="false" customHeight="false" outlineLevel="0" collapsed="false">
      <c r="A182" s="12"/>
      <c r="B182" s="14"/>
      <c r="C182" s="12"/>
      <c r="D182" s="12"/>
      <c r="E182" s="14"/>
      <c r="F182" s="12"/>
      <c r="G182" s="12" t="n">
        <f aca="false">COUNTIF(Spots!$C:$C,$A182)</f>
        <v>0</v>
      </c>
      <c r="H182" s="13" t="str">
        <f aca="false">IFERROR(AVERAGEIFS(Spots!$K:$K,Spots!$C:$C,$A182,Spots!$F:$F,"Posted"),"")</f>
        <v/>
      </c>
      <c r="I182" s="14"/>
    </row>
    <row r="183" customFormat="false" ht="15" hidden="false" customHeight="false" outlineLevel="0" collapsed="false">
      <c r="A183" s="12"/>
      <c r="B183" s="14"/>
      <c r="C183" s="12"/>
      <c r="D183" s="12"/>
      <c r="E183" s="14"/>
      <c r="F183" s="12"/>
      <c r="G183" s="12" t="n">
        <f aca="false">COUNTIF(Spots!$C:$C,$A183)</f>
        <v>0</v>
      </c>
      <c r="H183" s="13" t="str">
        <f aca="false">IFERROR(AVERAGEIFS(Spots!$K:$K,Spots!$C:$C,$A183,Spots!$F:$F,"Posted"),"")</f>
        <v/>
      </c>
      <c r="I183" s="14"/>
    </row>
    <row r="184" customFormat="false" ht="15" hidden="false" customHeight="false" outlineLevel="0" collapsed="false">
      <c r="A184" s="12"/>
      <c r="B184" s="14"/>
      <c r="C184" s="12"/>
      <c r="D184" s="12"/>
      <c r="E184" s="14"/>
      <c r="F184" s="12"/>
      <c r="G184" s="12" t="n">
        <f aca="false">COUNTIF(Spots!$C:$C,$A184)</f>
        <v>0</v>
      </c>
      <c r="H184" s="13" t="str">
        <f aca="false">IFERROR(AVERAGEIFS(Spots!$K:$K,Spots!$C:$C,$A184,Spots!$F:$F,"Posted"),"")</f>
        <v/>
      </c>
      <c r="I184" s="14"/>
    </row>
    <row r="185" customFormat="false" ht="15" hidden="false" customHeight="false" outlineLevel="0" collapsed="false">
      <c r="A185" s="12"/>
      <c r="B185" s="14"/>
      <c r="C185" s="12"/>
      <c r="D185" s="12"/>
      <c r="E185" s="14"/>
      <c r="F185" s="12"/>
      <c r="G185" s="12" t="n">
        <f aca="false">COUNTIF(Spots!$C:$C,$A185)</f>
        <v>0</v>
      </c>
      <c r="H185" s="13" t="str">
        <f aca="false">IFERROR(AVERAGEIFS(Spots!$K:$K,Spots!$C:$C,$A185,Spots!$F:$F,"Posted"),"")</f>
        <v/>
      </c>
      <c r="I185" s="14"/>
    </row>
    <row r="186" customFormat="false" ht="15" hidden="false" customHeight="false" outlineLevel="0" collapsed="false">
      <c r="A186" s="12"/>
      <c r="B186" s="14"/>
      <c r="C186" s="12"/>
      <c r="D186" s="12"/>
      <c r="E186" s="14"/>
      <c r="F186" s="12"/>
      <c r="G186" s="12" t="n">
        <f aca="false">COUNTIF(Spots!$C:$C,$A186)</f>
        <v>0</v>
      </c>
      <c r="H186" s="13" t="str">
        <f aca="false">IFERROR(AVERAGEIFS(Spots!$K:$K,Spots!$C:$C,$A186,Spots!$F:$F,"Posted"),"")</f>
        <v/>
      </c>
      <c r="I186" s="14"/>
    </row>
    <row r="187" customFormat="false" ht="15" hidden="false" customHeight="false" outlineLevel="0" collapsed="false">
      <c r="A187" s="12"/>
      <c r="B187" s="14"/>
      <c r="C187" s="12"/>
      <c r="D187" s="12"/>
      <c r="E187" s="14"/>
      <c r="F187" s="12"/>
      <c r="G187" s="12" t="n">
        <f aca="false">COUNTIF(Spots!$C:$C,$A187)</f>
        <v>0</v>
      </c>
      <c r="H187" s="13" t="str">
        <f aca="false">IFERROR(AVERAGEIFS(Spots!$K:$K,Spots!$C:$C,$A187,Spots!$F:$F,"Posted"),"")</f>
        <v/>
      </c>
      <c r="I187" s="14"/>
    </row>
    <row r="188" customFormat="false" ht="15" hidden="false" customHeight="false" outlineLevel="0" collapsed="false">
      <c r="A188" s="12"/>
      <c r="B188" s="14"/>
      <c r="C188" s="12"/>
      <c r="D188" s="12"/>
      <c r="E188" s="14"/>
      <c r="F188" s="12"/>
      <c r="G188" s="12" t="n">
        <f aca="false">COUNTIF(Spots!$C:$C,$A188)</f>
        <v>0</v>
      </c>
      <c r="H188" s="13" t="str">
        <f aca="false">IFERROR(AVERAGEIFS(Spots!$K:$K,Spots!$C:$C,$A188,Spots!$F:$F,"Posted"),"")</f>
        <v/>
      </c>
      <c r="I188" s="14"/>
    </row>
    <row r="189" customFormat="false" ht="15" hidden="false" customHeight="false" outlineLevel="0" collapsed="false">
      <c r="A189" s="12"/>
      <c r="B189" s="14"/>
      <c r="C189" s="12"/>
      <c r="D189" s="12"/>
      <c r="E189" s="14"/>
      <c r="F189" s="12"/>
      <c r="G189" s="12" t="n">
        <f aca="false">COUNTIF(Spots!$C:$C,$A189)</f>
        <v>0</v>
      </c>
      <c r="H189" s="13" t="str">
        <f aca="false">IFERROR(AVERAGEIFS(Spots!$K:$K,Spots!$C:$C,$A189,Spots!$F:$F,"Posted"),"")</f>
        <v/>
      </c>
      <c r="I189" s="14"/>
    </row>
    <row r="190" customFormat="false" ht="15" hidden="false" customHeight="false" outlineLevel="0" collapsed="false">
      <c r="A190" s="12"/>
      <c r="B190" s="14"/>
      <c r="C190" s="12"/>
      <c r="D190" s="12"/>
      <c r="E190" s="14"/>
      <c r="F190" s="12"/>
      <c r="G190" s="12" t="n">
        <f aca="false">COUNTIF(Spots!$C:$C,$A190)</f>
        <v>0</v>
      </c>
      <c r="H190" s="13" t="str">
        <f aca="false">IFERROR(AVERAGEIFS(Spots!$K:$K,Spots!$C:$C,$A190,Spots!$F:$F,"Posted"),"")</f>
        <v/>
      </c>
      <c r="I190" s="14"/>
    </row>
    <row r="191" customFormat="false" ht="15" hidden="false" customHeight="false" outlineLevel="0" collapsed="false">
      <c r="A191" s="12"/>
      <c r="B191" s="14"/>
      <c r="C191" s="12"/>
      <c r="D191" s="12"/>
      <c r="E191" s="14"/>
      <c r="F191" s="12"/>
      <c r="G191" s="12" t="n">
        <f aca="false">COUNTIF(Spots!$C:$C,$A191)</f>
        <v>0</v>
      </c>
      <c r="H191" s="13" t="str">
        <f aca="false">IFERROR(AVERAGEIFS(Spots!$K:$K,Spots!$C:$C,$A191,Spots!$F:$F,"Posted"),"")</f>
        <v/>
      </c>
      <c r="I191" s="14"/>
    </row>
    <row r="192" customFormat="false" ht="15" hidden="false" customHeight="false" outlineLevel="0" collapsed="false">
      <c r="A192" s="12"/>
      <c r="B192" s="14"/>
      <c r="C192" s="12"/>
      <c r="D192" s="12"/>
      <c r="E192" s="14"/>
      <c r="F192" s="12"/>
      <c r="G192" s="12" t="n">
        <f aca="false">COUNTIF(Spots!$C:$C,$A192)</f>
        <v>0</v>
      </c>
      <c r="H192" s="13" t="str">
        <f aca="false">IFERROR(AVERAGEIFS(Spots!$K:$K,Spots!$C:$C,$A192,Spots!$F:$F,"Posted"),"")</f>
        <v/>
      </c>
      <c r="I192" s="14"/>
    </row>
    <row r="193" customFormat="false" ht="15" hidden="false" customHeight="false" outlineLevel="0" collapsed="false">
      <c r="A193" s="12"/>
      <c r="B193" s="14"/>
      <c r="C193" s="12"/>
      <c r="D193" s="12"/>
      <c r="E193" s="14"/>
      <c r="F193" s="12"/>
      <c r="G193" s="12" t="n">
        <f aca="false">COUNTIF(Spots!$C:$C,$A193)</f>
        <v>0</v>
      </c>
      <c r="H193" s="13" t="str">
        <f aca="false">IFERROR(AVERAGEIFS(Spots!$K:$K,Spots!$C:$C,$A193,Spots!$F:$F,"Posted"),"")</f>
        <v/>
      </c>
      <c r="I193" s="14"/>
    </row>
    <row r="194" customFormat="false" ht="15" hidden="false" customHeight="false" outlineLevel="0" collapsed="false">
      <c r="A194" s="12"/>
      <c r="B194" s="14"/>
      <c r="C194" s="12"/>
      <c r="D194" s="12"/>
      <c r="E194" s="14"/>
      <c r="F194" s="12"/>
      <c r="G194" s="12" t="n">
        <f aca="false">COUNTIF(Spots!$C:$C,$A194)</f>
        <v>0</v>
      </c>
      <c r="H194" s="13" t="str">
        <f aca="false">IFERROR(AVERAGEIFS(Spots!$K:$K,Spots!$C:$C,$A194,Spots!$F:$F,"Posted"),"")</f>
        <v/>
      </c>
      <c r="I194" s="14"/>
    </row>
    <row r="195" customFormat="false" ht="15" hidden="false" customHeight="false" outlineLevel="0" collapsed="false">
      <c r="A195" s="12"/>
      <c r="B195" s="14"/>
      <c r="C195" s="12"/>
      <c r="D195" s="12"/>
      <c r="E195" s="14"/>
      <c r="F195" s="12"/>
      <c r="G195" s="12" t="n">
        <f aca="false">COUNTIF(Spots!$C:$C,$A195)</f>
        <v>0</v>
      </c>
      <c r="H195" s="13" t="str">
        <f aca="false">IFERROR(AVERAGEIFS(Spots!$K:$K,Spots!$C:$C,$A195,Spots!$F:$F,"Posted"),"")</f>
        <v/>
      </c>
      <c r="I195" s="14"/>
    </row>
    <row r="196" customFormat="false" ht="15" hidden="false" customHeight="false" outlineLevel="0" collapsed="false">
      <c r="A196" s="12"/>
      <c r="B196" s="14"/>
      <c r="C196" s="12"/>
      <c r="D196" s="12"/>
      <c r="E196" s="14"/>
      <c r="F196" s="12"/>
      <c r="G196" s="12" t="n">
        <f aca="false">COUNTIF(Spots!$C:$C,$A196)</f>
        <v>0</v>
      </c>
      <c r="H196" s="13" t="str">
        <f aca="false">IFERROR(AVERAGEIFS(Spots!$K:$K,Spots!$C:$C,$A196,Spots!$F:$F,"Posted"),"")</f>
        <v/>
      </c>
      <c r="I196" s="14"/>
    </row>
    <row r="197" customFormat="false" ht="15" hidden="false" customHeight="false" outlineLevel="0" collapsed="false">
      <c r="A197" s="12"/>
      <c r="B197" s="14"/>
      <c r="C197" s="12"/>
      <c r="D197" s="12"/>
      <c r="E197" s="14"/>
      <c r="F197" s="12"/>
      <c r="G197" s="12" t="n">
        <f aca="false">COUNTIF(Spots!$C:$C,$A197)</f>
        <v>0</v>
      </c>
      <c r="H197" s="13" t="str">
        <f aca="false">IFERROR(AVERAGEIFS(Spots!$K:$K,Spots!$C:$C,$A197,Spots!$F:$F,"Posted"),"")</f>
        <v/>
      </c>
      <c r="I197" s="14"/>
    </row>
    <row r="198" customFormat="false" ht="15" hidden="false" customHeight="false" outlineLevel="0" collapsed="false">
      <c r="A198" s="12"/>
      <c r="B198" s="14"/>
      <c r="C198" s="12"/>
      <c r="D198" s="12"/>
      <c r="E198" s="14"/>
      <c r="F198" s="12"/>
      <c r="G198" s="12" t="n">
        <f aca="false">COUNTIF(Spots!$C:$C,$A198)</f>
        <v>0</v>
      </c>
      <c r="H198" s="13" t="str">
        <f aca="false">IFERROR(AVERAGEIFS(Spots!$K:$K,Spots!$C:$C,$A198,Spots!$F:$F,"Posted"),"")</f>
        <v/>
      </c>
      <c r="I198" s="14"/>
    </row>
    <row r="199" customFormat="false" ht="15" hidden="false" customHeight="false" outlineLevel="0" collapsed="false">
      <c r="A199" s="12"/>
      <c r="B199" s="14"/>
      <c r="C199" s="12"/>
      <c r="D199" s="12"/>
      <c r="E199" s="14"/>
      <c r="F199" s="12"/>
      <c r="G199" s="12" t="n">
        <f aca="false">COUNTIF(Spots!$C:$C,$A199)</f>
        <v>0</v>
      </c>
      <c r="H199" s="13" t="str">
        <f aca="false">IFERROR(AVERAGEIFS(Spots!$K:$K,Spots!$C:$C,$A199,Spots!$F:$F,"Posted"),"")</f>
        <v/>
      </c>
      <c r="I199" s="14"/>
    </row>
    <row r="200" customFormat="false" ht="15" hidden="false" customHeight="false" outlineLevel="0" collapsed="false">
      <c r="A200" s="12"/>
      <c r="B200" s="14"/>
      <c r="C200" s="12"/>
      <c r="D200" s="12"/>
      <c r="E200" s="14"/>
      <c r="F200" s="12"/>
      <c r="G200" s="12" t="n">
        <f aca="false">COUNTIF(Spots!$C:$C,$A200)</f>
        <v>0</v>
      </c>
      <c r="H200" s="13" t="str">
        <f aca="false">IFERROR(AVERAGEIFS(Spots!$K:$K,Spots!$C:$C,$A200,Spots!$F:$F,"Posted"),"")</f>
        <v/>
      </c>
      <c r="I200" s="14"/>
    </row>
    <row r="201" customFormat="false" ht="15" hidden="false" customHeight="false" outlineLevel="0" collapsed="false">
      <c r="A201" s="12"/>
      <c r="B201" s="14"/>
      <c r="C201" s="12"/>
      <c r="D201" s="12"/>
      <c r="E201" s="14"/>
      <c r="F201" s="12"/>
      <c r="G201" s="12" t="n">
        <f aca="false">COUNTIF(Spots!$C:$C,$A201)</f>
        <v>0</v>
      </c>
      <c r="H201" s="13" t="str">
        <f aca="false">IFERROR(AVERAGEIFS(Spots!$K:$K,Spots!$C:$C,$A201,Spots!$F:$F,"Posted"),"")</f>
        <v/>
      </c>
      <c r="I201" s="14"/>
    </row>
    <row r="202" customFormat="false" ht="15" hidden="false" customHeight="false" outlineLevel="0" collapsed="false">
      <c r="A202" s="12"/>
      <c r="B202" s="14"/>
      <c r="C202" s="12"/>
      <c r="D202" s="12"/>
      <c r="E202" s="14"/>
      <c r="F202" s="12"/>
      <c r="G202" s="12" t="n">
        <f aca="false">COUNTIF(Spots!$C:$C,$A202)</f>
        <v>0</v>
      </c>
      <c r="H202" s="13" t="str">
        <f aca="false">IFERROR(AVERAGEIFS(Spots!$K:$K,Spots!$C:$C,$A202,Spots!$F:$F,"Posted"),"")</f>
        <v/>
      </c>
      <c r="I202" s="14"/>
    </row>
    <row r="203" customFormat="false" ht="15" hidden="false" customHeight="false" outlineLevel="0" collapsed="false">
      <c r="A203" s="12"/>
      <c r="B203" s="14"/>
      <c r="C203" s="12"/>
      <c r="D203" s="12"/>
      <c r="E203" s="14"/>
      <c r="F203" s="12"/>
      <c r="G203" s="12" t="n">
        <f aca="false">COUNTIF(Spots!$C:$C,$A203)</f>
        <v>0</v>
      </c>
      <c r="H203" s="13" t="str">
        <f aca="false">IFERROR(AVERAGEIFS(Spots!$K:$K,Spots!$C:$C,$A203,Spots!$F:$F,"Posted"),"")</f>
        <v/>
      </c>
      <c r="I203" s="14"/>
    </row>
    <row r="204" customFormat="false" ht="15" hidden="false" customHeight="false" outlineLevel="0" collapsed="false">
      <c r="A204" s="12"/>
      <c r="B204" s="14"/>
      <c r="C204" s="12"/>
      <c r="D204" s="12"/>
      <c r="E204" s="14"/>
      <c r="F204" s="12"/>
      <c r="G204" s="12" t="n">
        <f aca="false">COUNTIF(Spots!$C:$C,$A204)</f>
        <v>0</v>
      </c>
      <c r="H204" s="13" t="str">
        <f aca="false">IFERROR(AVERAGEIFS(Spots!$K:$K,Spots!$C:$C,$A204,Spots!$F:$F,"Posted"),"")</f>
        <v/>
      </c>
      <c r="I204" s="14"/>
    </row>
    <row r="205" customFormat="false" ht="15" hidden="false" customHeight="false" outlineLevel="0" collapsed="false">
      <c r="A205" s="12"/>
      <c r="B205" s="14"/>
      <c r="C205" s="12"/>
      <c r="D205" s="12"/>
      <c r="E205" s="14"/>
      <c r="F205" s="12"/>
      <c r="G205" s="12" t="n">
        <f aca="false">COUNTIF(Spots!$C:$C,$A205)</f>
        <v>0</v>
      </c>
      <c r="H205" s="13" t="str">
        <f aca="false">IFERROR(AVERAGEIFS(Spots!$K:$K,Spots!$C:$C,$A205,Spots!$F:$F,"Posted"),"")</f>
        <v/>
      </c>
      <c r="I205" s="14"/>
    </row>
    <row r="206" customFormat="false" ht="15" hidden="false" customHeight="false" outlineLevel="0" collapsed="false">
      <c r="A206" s="12"/>
      <c r="B206" s="14"/>
      <c r="C206" s="12"/>
      <c r="D206" s="12"/>
      <c r="E206" s="14"/>
      <c r="F206" s="12"/>
      <c r="G206" s="12" t="n">
        <f aca="false">COUNTIF(Spots!$C:$C,$A206)</f>
        <v>0</v>
      </c>
      <c r="H206" s="13" t="str">
        <f aca="false">IFERROR(AVERAGEIFS(Spots!$K:$K,Spots!$C:$C,$A206,Spots!$F:$F,"Posted"),"")</f>
        <v/>
      </c>
      <c r="I206" s="14"/>
    </row>
    <row r="207" customFormat="false" ht="15" hidden="false" customHeight="false" outlineLevel="0" collapsed="false">
      <c r="A207" s="12"/>
      <c r="B207" s="14"/>
      <c r="C207" s="12"/>
      <c r="D207" s="12"/>
      <c r="E207" s="14"/>
      <c r="F207" s="12"/>
      <c r="G207" s="12" t="n">
        <f aca="false">COUNTIF(Spots!$C:$C,$A207)</f>
        <v>0</v>
      </c>
      <c r="H207" s="13" t="str">
        <f aca="false">IFERROR(AVERAGEIFS(Spots!$K:$K,Spots!$C:$C,$A207,Spots!$F:$F,"Posted"),"")</f>
        <v/>
      </c>
      <c r="I207" s="14"/>
    </row>
    <row r="208" customFormat="false" ht="15" hidden="false" customHeight="false" outlineLevel="0" collapsed="false">
      <c r="A208" s="12"/>
      <c r="B208" s="14"/>
      <c r="C208" s="12"/>
      <c r="D208" s="12"/>
      <c r="E208" s="14"/>
      <c r="F208" s="12"/>
      <c r="G208" s="12" t="n">
        <f aca="false">COUNTIF(Spots!$C:$C,$A208)</f>
        <v>0</v>
      </c>
      <c r="H208" s="13" t="str">
        <f aca="false">IFERROR(AVERAGEIFS(Spots!$K:$K,Spots!$C:$C,$A208,Spots!$F:$F,"Posted"),"")</f>
        <v/>
      </c>
      <c r="I208" s="14"/>
    </row>
    <row r="209" customFormat="false" ht="15" hidden="false" customHeight="false" outlineLevel="0" collapsed="false">
      <c r="A209" s="12"/>
      <c r="B209" s="14"/>
      <c r="C209" s="12"/>
      <c r="D209" s="12"/>
      <c r="E209" s="14"/>
      <c r="F209" s="12"/>
      <c r="G209" s="12" t="n">
        <f aca="false">COUNTIF(Spots!$C:$C,$A209)</f>
        <v>0</v>
      </c>
      <c r="H209" s="13" t="str">
        <f aca="false">IFERROR(AVERAGEIFS(Spots!$K:$K,Spots!$C:$C,$A209,Spots!$F:$F,"Posted"),"")</f>
        <v/>
      </c>
      <c r="I209" s="14"/>
    </row>
    <row r="210" customFormat="false" ht="15" hidden="false" customHeight="false" outlineLevel="0" collapsed="false">
      <c r="A210" s="12"/>
      <c r="B210" s="14"/>
      <c r="C210" s="12"/>
      <c r="D210" s="12"/>
      <c r="E210" s="14"/>
      <c r="F210" s="12"/>
      <c r="G210" s="12" t="n">
        <f aca="false">COUNTIF(Spots!$C:$C,$A210)</f>
        <v>0</v>
      </c>
      <c r="H210" s="13" t="str">
        <f aca="false">IFERROR(AVERAGEIFS(Spots!$K:$K,Spots!$C:$C,$A210,Spots!$F:$F,"Posted"),"")</f>
        <v/>
      </c>
      <c r="I210" s="14"/>
    </row>
    <row r="211" customFormat="false" ht="15" hidden="false" customHeight="false" outlineLevel="0" collapsed="false">
      <c r="A211" s="12"/>
      <c r="B211" s="14"/>
      <c r="C211" s="12"/>
      <c r="D211" s="12"/>
      <c r="E211" s="14"/>
      <c r="F211" s="12"/>
      <c r="G211" s="12" t="n">
        <f aca="false">COUNTIF(Spots!$C:$C,$A211)</f>
        <v>0</v>
      </c>
      <c r="H211" s="13" t="str">
        <f aca="false">IFERROR(AVERAGEIFS(Spots!$K:$K,Spots!$C:$C,$A211,Spots!$F:$F,"Posted"),"")</f>
        <v/>
      </c>
      <c r="I211" s="14"/>
    </row>
    <row r="212" customFormat="false" ht="15" hidden="false" customHeight="false" outlineLevel="0" collapsed="false">
      <c r="A212" s="12"/>
      <c r="B212" s="14"/>
      <c r="C212" s="12"/>
      <c r="D212" s="12"/>
      <c r="E212" s="14"/>
      <c r="F212" s="12"/>
      <c r="G212" s="12" t="n">
        <f aca="false">COUNTIF(Spots!$C:$C,$A212)</f>
        <v>0</v>
      </c>
      <c r="H212" s="13" t="str">
        <f aca="false">IFERROR(AVERAGEIFS(Spots!$K:$K,Spots!$C:$C,$A212,Spots!$F:$F,"Posted"),"")</f>
        <v/>
      </c>
      <c r="I212" s="14"/>
    </row>
    <row r="213" customFormat="false" ht="15" hidden="false" customHeight="false" outlineLevel="0" collapsed="false">
      <c r="A213" s="12"/>
      <c r="B213" s="14"/>
      <c r="C213" s="12"/>
      <c r="D213" s="12"/>
      <c r="E213" s="14"/>
      <c r="F213" s="12"/>
      <c r="G213" s="12" t="n">
        <f aca="false">COUNTIF(Spots!$C:$C,$A213)</f>
        <v>0</v>
      </c>
      <c r="H213" s="13" t="str">
        <f aca="false">IFERROR(AVERAGEIFS(Spots!$K:$K,Spots!$C:$C,$A213,Spots!$F:$F,"Posted"),"")</f>
        <v/>
      </c>
      <c r="I213" s="14"/>
    </row>
    <row r="214" customFormat="false" ht="15" hidden="false" customHeight="false" outlineLevel="0" collapsed="false">
      <c r="A214" s="12"/>
      <c r="B214" s="14"/>
      <c r="C214" s="12"/>
      <c r="D214" s="12"/>
      <c r="E214" s="14"/>
      <c r="F214" s="12"/>
      <c r="G214" s="12" t="n">
        <f aca="false">COUNTIF(Spots!$C:$C,$A214)</f>
        <v>0</v>
      </c>
      <c r="H214" s="13" t="str">
        <f aca="false">IFERROR(AVERAGEIFS(Spots!$K:$K,Spots!$C:$C,$A214,Spots!$F:$F,"Posted"),"")</f>
        <v/>
      </c>
      <c r="I214" s="14"/>
    </row>
    <row r="215" customFormat="false" ht="15" hidden="false" customHeight="false" outlineLevel="0" collapsed="false">
      <c r="A215" s="12"/>
      <c r="B215" s="14"/>
      <c r="C215" s="12"/>
      <c r="D215" s="12"/>
      <c r="E215" s="14"/>
      <c r="F215" s="12"/>
      <c r="G215" s="12" t="n">
        <f aca="false">COUNTIF(Spots!$C:$C,$A215)</f>
        <v>0</v>
      </c>
      <c r="H215" s="13" t="str">
        <f aca="false">IFERROR(AVERAGEIFS(Spots!$K:$K,Spots!$C:$C,$A215,Spots!$F:$F,"Posted"),"")</f>
        <v/>
      </c>
      <c r="I215" s="14"/>
    </row>
    <row r="216" customFormat="false" ht="15" hidden="false" customHeight="false" outlineLevel="0" collapsed="false">
      <c r="A216" s="12"/>
      <c r="B216" s="14"/>
      <c r="C216" s="12"/>
      <c r="D216" s="12"/>
      <c r="E216" s="14"/>
      <c r="F216" s="12"/>
      <c r="G216" s="12" t="n">
        <f aca="false">COUNTIF(Spots!$C:$C,$A216)</f>
        <v>0</v>
      </c>
      <c r="H216" s="13" t="str">
        <f aca="false">IFERROR(AVERAGEIFS(Spots!$K:$K,Spots!$C:$C,$A216,Spots!$F:$F,"Posted"),"")</f>
        <v/>
      </c>
      <c r="I216" s="14"/>
    </row>
    <row r="217" customFormat="false" ht="15" hidden="false" customHeight="false" outlineLevel="0" collapsed="false">
      <c r="A217" s="12"/>
      <c r="B217" s="14"/>
      <c r="C217" s="12"/>
      <c r="D217" s="12"/>
      <c r="E217" s="14"/>
      <c r="F217" s="12"/>
      <c r="G217" s="12" t="n">
        <f aca="false">COUNTIF(Spots!$C:$C,$A217)</f>
        <v>0</v>
      </c>
      <c r="H217" s="13" t="str">
        <f aca="false">IFERROR(AVERAGEIFS(Spots!$K:$K,Spots!$C:$C,$A217,Spots!$F:$F,"Posted"),"")</f>
        <v/>
      </c>
      <c r="I217" s="14"/>
    </row>
    <row r="218" customFormat="false" ht="15" hidden="false" customHeight="false" outlineLevel="0" collapsed="false">
      <c r="A218" s="12"/>
      <c r="B218" s="14"/>
      <c r="C218" s="12"/>
      <c r="D218" s="12"/>
      <c r="E218" s="14"/>
      <c r="F218" s="12"/>
      <c r="G218" s="12" t="n">
        <f aca="false">COUNTIF(Spots!$C:$C,$A218)</f>
        <v>0</v>
      </c>
      <c r="H218" s="13" t="str">
        <f aca="false">IFERROR(AVERAGEIFS(Spots!$K:$K,Spots!$C:$C,$A218,Spots!$F:$F,"Posted"),"")</f>
        <v/>
      </c>
      <c r="I218" s="14"/>
    </row>
    <row r="219" customFormat="false" ht="15" hidden="false" customHeight="false" outlineLevel="0" collapsed="false">
      <c r="A219" s="12"/>
      <c r="B219" s="14"/>
      <c r="C219" s="12"/>
      <c r="D219" s="12"/>
      <c r="E219" s="14"/>
      <c r="F219" s="12"/>
      <c r="G219" s="12" t="n">
        <f aca="false">COUNTIF(Spots!$C:$C,$A219)</f>
        <v>0</v>
      </c>
      <c r="H219" s="13" t="str">
        <f aca="false">IFERROR(AVERAGEIFS(Spots!$K:$K,Spots!$C:$C,$A219,Spots!$F:$F,"Posted"),"")</f>
        <v/>
      </c>
      <c r="I219" s="14"/>
    </row>
    <row r="220" customFormat="false" ht="15" hidden="false" customHeight="false" outlineLevel="0" collapsed="false">
      <c r="A220" s="12"/>
      <c r="B220" s="14"/>
      <c r="C220" s="12"/>
      <c r="D220" s="12"/>
      <c r="E220" s="14"/>
      <c r="F220" s="12"/>
      <c r="G220" s="12" t="n">
        <f aca="false">COUNTIF(Spots!$C:$C,$A220)</f>
        <v>0</v>
      </c>
      <c r="H220" s="13" t="str">
        <f aca="false">IFERROR(AVERAGEIFS(Spots!$K:$K,Spots!$C:$C,$A220,Spots!$F:$F,"Posted"),"")</f>
        <v/>
      </c>
      <c r="I220" s="14"/>
    </row>
    <row r="221" customFormat="false" ht="15" hidden="false" customHeight="false" outlineLevel="0" collapsed="false">
      <c r="A221" s="12"/>
      <c r="B221" s="14"/>
      <c r="C221" s="12"/>
      <c r="D221" s="12"/>
      <c r="E221" s="14"/>
      <c r="F221" s="12"/>
      <c r="G221" s="12" t="n">
        <f aca="false">COUNTIF(Spots!$C:$C,$A221)</f>
        <v>0</v>
      </c>
      <c r="H221" s="13" t="str">
        <f aca="false">IFERROR(AVERAGEIFS(Spots!$K:$K,Spots!$C:$C,$A221,Spots!$F:$F,"Posted"),"")</f>
        <v/>
      </c>
      <c r="I221" s="14"/>
    </row>
    <row r="222" customFormat="false" ht="15" hidden="false" customHeight="false" outlineLevel="0" collapsed="false">
      <c r="A222" s="12"/>
      <c r="B222" s="14"/>
      <c r="C222" s="12"/>
      <c r="D222" s="12"/>
      <c r="E222" s="14"/>
      <c r="F222" s="12"/>
      <c r="G222" s="12" t="n">
        <f aca="false">COUNTIF(Spots!$C:$C,$A222)</f>
        <v>0</v>
      </c>
      <c r="H222" s="13" t="str">
        <f aca="false">IFERROR(AVERAGEIFS(Spots!$K:$K,Spots!$C:$C,$A222,Spots!$F:$F,"Posted"),"")</f>
        <v/>
      </c>
      <c r="I222" s="14"/>
    </row>
    <row r="223" customFormat="false" ht="15" hidden="false" customHeight="false" outlineLevel="0" collapsed="false">
      <c r="A223" s="12"/>
      <c r="B223" s="14"/>
      <c r="C223" s="12"/>
      <c r="D223" s="12"/>
      <c r="E223" s="14"/>
      <c r="F223" s="12"/>
      <c r="G223" s="12" t="n">
        <f aca="false">COUNTIF(Spots!$C:$C,$A223)</f>
        <v>0</v>
      </c>
      <c r="H223" s="13" t="str">
        <f aca="false">IFERROR(AVERAGEIFS(Spots!$K:$K,Spots!$C:$C,$A223,Spots!$F:$F,"Posted"),"")</f>
        <v/>
      </c>
      <c r="I223" s="14"/>
    </row>
    <row r="224" customFormat="false" ht="15" hidden="false" customHeight="false" outlineLevel="0" collapsed="false">
      <c r="A224" s="12"/>
      <c r="B224" s="14"/>
      <c r="C224" s="12"/>
      <c r="D224" s="12"/>
      <c r="E224" s="14"/>
      <c r="F224" s="12"/>
      <c r="G224" s="12" t="n">
        <f aca="false">COUNTIF(Spots!$C:$C,$A224)</f>
        <v>0</v>
      </c>
      <c r="H224" s="13" t="str">
        <f aca="false">IFERROR(AVERAGEIFS(Spots!$K:$K,Spots!$C:$C,$A224,Spots!$F:$F,"Posted"),"")</f>
        <v/>
      </c>
      <c r="I224" s="14"/>
    </row>
    <row r="225" customFormat="false" ht="15" hidden="false" customHeight="false" outlineLevel="0" collapsed="false">
      <c r="A225" s="12"/>
      <c r="B225" s="14"/>
      <c r="C225" s="12"/>
      <c r="D225" s="12"/>
      <c r="E225" s="14"/>
      <c r="F225" s="12"/>
      <c r="G225" s="12" t="n">
        <f aca="false">COUNTIF(Spots!$C:$C,$A225)</f>
        <v>0</v>
      </c>
      <c r="H225" s="13" t="str">
        <f aca="false">IFERROR(AVERAGEIFS(Spots!$K:$K,Spots!$C:$C,$A225,Spots!$F:$F,"Posted"),"")</f>
        <v/>
      </c>
      <c r="I225" s="14"/>
    </row>
    <row r="226" customFormat="false" ht="15" hidden="false" customHeight="false" outlineLevel="0" collapsed="false">
      <c r="A226" s="12"/>
      <c r="B226" s="14"/>
      <c r="C226" s="12"/>
      <c r="D226" s="12"/>
      <c r="E226" s="14"/>
      <c r="F226" s="12"/>
      <c r="G226" s="12" t="n">
        <f aca="false">COUNTIF(Spots!$C:$C,$A226)</f>
        <v>0</v>
      </c>
      <c r="H226" s="13" t="str">
        <f aca="false">IFERROR(AVERAGEIFS(Spots!$K:$K,Spots!$C:$C,$A226,Spots!$F:$F,"Posted"),"")</f>
        <v/>
      </c>
      <c r="I226" s="14"/>
    </row>
    <row r="227" customFormat="false" ht="15" hidden="false" customHeight="false" outlineLevel="0" collapsed="false">
      <c r="A227" s="12"/>
      <c r="B227" s="14"/>
      <c r="C227" s="12"/>
      <c r="D227" s="12"/>
      <c r="E227" s="14"/>
      <c r="F227" s="12"/>
      <c r="G227" s="12" t="n">
        <f aca="false">COUNTIF(Spots!$C:$C,$A227)</f>
        <v>0</v>
      </c>
      <c r="H227" s="13" t="str">
        <f aca="false">IFERROR(AVERAGEIFS(Spots!$K:$K,Spots!$C:$C,$A227,Spots!$F:$F,"Posted"),"")</f>
        <v/>
      </c>
      <c r="I227" s="14"/>
    </row>
    <row r="228" customFormat="false" ht="15" hidden="false" customHeight="false" outlineLevel="0" collapsed="false">
      <c r="A228" s="12"/>
      <c r="B228" s="14"/>
      <c r="C228" s="12"/>
      <c r="D228" s="12"/>
      <c r="E228" s="14"/>
      <c r="F228" s="12"/>
      <c r="G228" s="12" t="n">
        <f aca="false">COUNTIF(Spots!$C:$C,$A228)</f>
        <v>0</v>
      </c>
      <c r="H228" s="13" t="str">
        <f aca="false">IFERROR(AVERAGEIFS(Spots!$K:$K,Spots!$C:$C,$A228,Spots!$F:$F,"Posted"),"")</f>
        <v/>
      </c>
      <c r="I228" s="14"/>
    </row>
    <row r="229" customFormat="false" ht="15" hidden="false" customHeight="false" outlineLevel="0" collapsed="false">
      <c r="A229" s="12"/>
      <c r="B229" s="14"/>
      <c r="C229" s="12"/>
      <c r="D229" s="12"/>
      <c r="E229" s="14"/>
      <c r="F229" s="12"/>
      <c r="G229" s="12" t="n">
        <f aca="false">COUNTIF(Spots!$C:$C,$A229)</f>
        <v>0</v>
      </c>
      <c r="H229" s="13" t="str">
        <f aca="false">IFERROR(AVERAGEIFS(Spots!$K:$K,Spots!$C:$C,$A229,Spots!$F:$F,"Posted"),"")</f>
        <v/>
      </c>
      <c r="I229" s="14"/>
    </row>
    <row r="230" customFormat="false" ht="15" hidden="false" customHeight="false" outlineLevel="0" collapsed="false">
      <c r="A230" s="12"/>
      <c r="B230" s="14"/>
      <c r="C230" s="12"/>
      <c r="D230" s="12"/>
      <c r="E230" s="14"/>
      <c r="F230" s="12"/>
      <c r="G230" s="12" t="n">
        <f aca="false">COUNTIF(Spots!$C:$C,$A230)</f>
        <v>0</v>
      </c>
      <c r="H230" s="13" t="str">
        <f aca="false">IFERROR(AVERAGEIFS(Spots!$K:$K,Spots!$C:$C,$A230,Spots!$F:$F,"Posted"),"")</f>
        <v/>
      </c>
      <c r="I230" s="14"/>
    </row>
    <row r="231" customFormat="false" ht="15" hidden="false" customHeight="false" outlineLevel="0" collapsed="false">
      <c r="A231" s="12"/>
      <c r="B231" s="14"/>
      <c r="C231" s="12"/>
      <c r="D231" s="12"/>
      <c r="E231" s="14"/>
      <c r="F231" s="12"/>
      <c r="G231" s="12" t="n">
        <f aca="false">COUNTIF(Spots!$C:$C,$A231)</f>
        <v>0</v>
      </c>
      <c r="H231" s="13" t="str">
        <f aca="false">IFERROR(AVERAGEIFS(Spots!$K:$K,Spots!$C:$C,$A231,Spots!$F:$F,"Posted"),"")</f>
        <v/>
      </c>
      <c r="I231" s="14"/>
    </row>
    <row r="232" customFormat="false" ht="15" hidden="false" customHeight="false" outlineLevel="0" collapsed="false">
      <c r="A232" s="12"/>
      <c r="B232" s="14"/>
      <c r="C232" s="12"/>
      <c r="D232" s="12"/>
      <c r="E232" s="14"/>
      <c r="F232" s="12"/>
      <c r="G232" s="12" t="n">
        <f aca="false">COUNTIF(Spots!$C:$C,$A232)</f>
        <v>0</v>
      </c>
      <c r="H232" s="13" t="str">
        <f aca="false">IFERROR(AVERAGEIFS(Spots!$K:$K,Spots!$C:$C,$A232,Spots!$F:$F,"Posted"),"")</f>
        <v/>
      </c>
      <c r="I232" s="14"/>
    </row>
    <row r="233" customFormat="false" ht="15" hidden="false" customHeight="false" outlineLevel="0" collapsed="false">
      <c r="A233" s="12"/>
      <c r="B233" s="14"/>
      <c r="C233" s="12"/>
      <c r="D233" s="12"/>
      <c r="E233" s="14"/>
      <c r="F233" s="12"/>
      <c r="G233" s="12" t="n">
        <f aca="false">COUNTIF(Spots!$C:$C,$A233)</f>
        <v>0</v>
      </c>
      <c r="H233" s="13" t="str">
        <f aca="false">IFERROR(AVERAGEIFS(Spots!$K:$K,Spots!$C:$C,$A233,Spots!$F:$F,"Posted"),"")</f>
        <v/>
      </c>
      <c r="I233" s="14"/>
    </row>
    <row r="234" customFormat="false" ht="15" hidden="false" customHeight="false" outlineLevel="0" collapsed="false">
      <c r="A234" s="12"/>
      <c r="B234" s="14"/>
      <c r="C234" s="12"/>
      <c r="D234" s="12"/>
      <c r="E234" s="14"/>
      <c r="F234" s="12"/>
      <c r="G234" s="12" t="n">
        <f aca="false">COUNTIF(Spots!$C:$C,$A234)</f>
        <v>0</v>
      </c>
      <c r="H234" s="13" t="str">
        <f aca="false">IFERROR(AVERAGEIFS(Spots!$K:$K,Spots!$C:$C,$A234,Spots!$F:$F,"Posted"),"")</f>
        <v/>
      </c>
      <c r="I234" s="14"/>
    </row>
    <row r="235" customFormat="false" ht="15" hidden="false" customHeight="false" outlineLevel="0" collapsed="false">
      <c r="A235" s="12"/>
      <c r="B235" s="14"/>
      <c r="C235" s="12"/>
      <c r="D235" s="12"/>
      <c r="E235" s="14"/>
      <c r="F235" s="12"/>
      <c r="G235" s="12" t="n">
        <f aca="false">COUNTIF(Spots!$C:$C,$A235)</f>
        <v>0</v>
      </c>
      <c r="H235" s="13" t="str">
        <f aca="false">IFERROR(AVERAGEIFS(Spots!$K:$K,Spots!$C:$C,$A235,Spots!$F:$F,"Posted"),"")</f>
        <v/>
      </c>
      <c r="I235" s="14"/>
    </row>
    <row r="236" customFormat="false" ht="15" hidden="false" customHeight="false" outlineLevel="0" collapsed="false">
      <c r="A236" s="12"/>
      <c r="B236" s="14"/>
      <c r="C236" s="12"/>
      <c r="D236" s="12"/>
      <c r="E236" s="14"/>
      <c r="F236" s="12"/>
      <c r="G236" s="12" t="n">
        <f aca="false">COUNTIF(Spots!$C:$C,$A236)</f>
        <v>0</v>
      </c>
      <c r="H236" s="13" t="str">
        <f aca="false">IFERROR(AVERAGEIFS(Spots!$K:$K,Spots!$C:$C,$A236,Spots!$F:$F,"Posted"),"")</f>
        <v/>
      </c>
      <c r="I236" s="14"/>
    </row>
    <row r="237" customFormat="false" ht="15" hidden="false" customHeight="false" outlineLevel="0" collapsed="false">
      <c r="A237" s="12"/>
      <c r="B237" s="14"/>
      <c r="C237" s="12"/>
      <c r="D237" s="12"/>
      <c r="E237" s="14"/>
      <c r="F237" s="12"/>
      <c r="G237" s="12" t="n">
        <f aca="false">COUNTIF(Spots!$C:$C,$A237)</f>
        <v>0</v>
      </c>
      <c r="H237" s="13" t="str">
        <f aca="false">IFERROR(AVERAGEIFS(Spots!$K:$K,Spots!$C:$C,$A237,Spots!$F:$F,"Posted"),"")</f>
        <v/>
      </c>
      <c r="I237" s="14"/>
    </row>
    <row r="238" customFormat="false" ht="15" hidden="false" customHeight="false" outlineLevel="0" collapsed="false">
      <c r="A238" s="12"/>
      <c r="B238" s="14"/>
      <c r="C238" s="12"/>
      <c r="D238" s="12"/>
      <c r="E238" s="14"/>
      <c r="F238" s="12"/>
      <c r="G238" s="12" t="n">
        <f aca="false">COUNTIF(Spots!$C:$C,$A238)</f>
        <v>0</v>
      </c>
      <c r="H238" s="13" t="str">
        <f aca="false">IFERROR(AVERAGEIFS(Spots!$K:$K,Spots!$C:$C,$A238,Spots!$F:$F,"Posted"),"")</f>
        <v/>
      </c>
      <c r="I238" s="14"/>
    </row>
    <row r="239" customFormat="false" ht="15" hidden="false" customHeight="false" outlineLevel="0" collapsed="false">
      <c r="A239" s="12"/>
      <c r="B239" s="14"/>
      <c r="C239" s="12"/>
      <c r="D239" s="12"/>
      <c r="E239" s="14"/>
      <c r="F239" s="12"/>
      <c r="G239" s="12" t="n">
        <f aca="false">COUNTIF(Spots!$C:$C,$A239)</f>
        <v>0</v>
      </c>
      <c r="H239" s="13" t="str">
        <f aca="false">IFERROR(AVERAGEIFS(Spots!$K:$K,Spots!$C:$C,$A239,Spots!$F:$F,"Posted"),"")</f>
        <v/>
      </c>
      <c r="I239" s="14"/>
    </row>
    <row r="240" customFormat="false" ht="15" hidden="false" customHeight="false" outlineLevel="0" collapsed="false">
      <c r="A240" s="12"/>
      <c r="B240" s="14"/>
      <c r="C240" s="12"/>
      <c r="D240" s="12"/>
      <c r="E240" s="14"/>
      <c r="F240" s="12"/>
      <c r="G240" s="12" t="n">
        <f aca="false">COUNTIF(Spots!$C:$C,$A240)</f>
        <v>0</v>
      </c>
      <c r="H240" s="13" t="str">
        <f aca="false">IFERROR(AVERAGEIFS(Spots!$K:$K,Spots!$C:$C,$A240,Spots!$F:$F,"Posted"),"")</f>
        <v/>
      </c>
      <c r="I240" s="14"/>
    </row>
    <row r="241" customFormat="false" ht="15" hidden="false" customHeight="false" outlineLevel="0" collapsed="false">
      <c r="A241" s="12"/>
      <c r="B241" s="14"/>
      <c r="C241" s="12"/>
      <c r="D241" s="12"/>
      <c r="E241" s="14"/>
      <c r="F241" s="12"/>
      <c r="G241" s="12" t="n">
        <f aca="false">COUNTIF(Spots!$C:$C,$A241)</f>
        <v>0</v>
      </c>
      <c r="H241" s="13" t="str">
        <f aca="false">IFERROR(AVERAGEIFS(Spots!$K:$K,Spots!$C:$C,$A241,Spots!$F:$F,"Posted"),"")</f>
        <v/>
      </c>
      <c r="I241" s="14"/>
    </row>
    <row r="242" customFormat="false" ht="15" hidden="false" customHeight="false" outlineLevel="0" collapsed="false">
      <c r="A242" s="12"/>
      <c r="B242" s="14"/>
      <c r="C242" s="12"/>
      <c r="D242" s="12"/>
      <c r="E242" s="14"/>
      <c r="F242" s="12"/>
      <c r="G242" s="12" t="n">
        <f aca="false">COUNTIF(Spots!$C:$C,$A242)</f>
        <v>0</v>
      </c>
      <c r="H242" s="13" t="str">
        <f aca="false">IFERROR(AVERAGEIFS(Spots!$K:$K,Spots!$C:$C,$A242,Spots!$F:$F,"Posted"),"")</f>
        <v/>
      </c>
      <c r="I242" s="14"/>
    </row>
    <row r="243" customFormat="false" ht="15" hidden="false" customHeight="false" outlineLevel="0" collapsed="false">
      <c r="A243" s="12"/>
      <c r="B243" s="14"/>
      <c r="C243" s="12"/>
      <c r="D243" s="12"/>
      <c r="E243" s="14"/>
      <c r="F243" s="12"/>
      <c r="G243" s="12" t="n">
        <f aca="false">COUNTIF(Spots!$C:$C,$A243)</f>
        <v>0</v>
      </c>
      <c r="H243" s="13" t="str">
        <f aca="false">IFERROR(AVERAGEIFS(Spots!$K:$K,Spots!$C:$C,$A243,Spots!$F:$F,"Posted"),"")</f>
        <v/>
      </c>
      <c r="I243" s="14"/>
    </row>
    <row r="244" customFormat="false" ht="15" hidden="false" customHeight="false" outlineLevel="0" collapsed="false">
      <c r="A244" s="12"/>
      <c r="B244" s="14"/>
      <c r="C244" s="12"/>
      <c r="D244" s="12"/>
      <c r="E244" s="14"/>
      <c r="F244" s="12"/>
      <c r="G244" s="12" t="n">
        <f aca="false">COUNTIF(Spots!$C:$C,$A244)</f>
        <v>0</v>
      </c>
      <c r="H244" s="13" t="str">
        <f aca="false">IFERROR(AVERAGEIFS(Spots!$K:$K,Spots!$C:$C,$A244,Spots!$F:$F,"Posted"),"")</f>
        <v/>
      </c>
      <c r="I244" s="14"/>
    </row>
    <row r="245" customFormat="false" ht="15" hidden="false" customHeight="false" outlineLevel="0" collapsed="false">
      <c r="A245" s="12"/>
      <c r="B245" s="14"/>
      <c r="C245" s="12"/>
      <c r="D245" s="12"/>
      <c r="E245" s="14"/>
      <c r="F245" s="12"/>
      <c r="G245" s="12" t="n">
        <f aca="false">COUNTIF(Spots!$C:$C,$A245)</f>
        <v>0</v>
      </c>
      <c r="H245" s="13" t="str">
        <f aca="false">IFERROR(AVERAGEIFS(Spots!$K:$K,Spots!$C:$C,$A245,Spots!$F:$F,"Posted"),"")</f>
        <v/>
      </c>
      <c r="I245" s="14"/>
    </row>
    <row r="246" customFormat="false" ht="15" hidden="false" customHeight="false" outlineLevel="0" collapsed="false">
      <c r="A246" s="12"/>
      <c r="B246" s="14"/>
      <c r="C246" s="12"/>
      <c r="D246" s="12"/>
      <c r="E246" s="14"/>
      <c r="F246" s="12"/>
      <c r="G246" s="12" t="n">
        <f aca="false">COUNTIF(Spots!$C:$C,$A246)</f>
        <v>0</v>
      </c>
      <c r="H246" s="13" t="str">
        <f aca="false">IFERROR(AVERAGEIFS(Spots!$K:$K,Spots!$C:$C,$A246,Spots!$F:$F,"Posted"),"")</f>
        <v/>
      </c>
      <c r="I246" s="14"/>
    </row>
    <row r="247" customFormat="false" ht="15" hidden="false" customHeight="false" outlineLevel="0" collapsed="false">
      <c r="A247" s="12"/>
      <c r="B247" s="14"/>
      <c r="C247" s="12"/>
      <c r="D247" s="12"/>
      <c r="E247" s="14"/>
      <c r="F247" s="12"/>
      <c r="G247" s="12" t="n">
        <f aca="false">COUNTIF(Spots!$C:$C,$A247)</f>
        <v>0</v>
      </c>
      <c r="H247" s="13" t="str">
        <f aca="false">IFERROR(AVERAGEIFS(Spots!$K:$K,Spots!$C:$C,$A247,Spots!$F:$F,"Posted"),"")</f>
        <v/>
      </c>
      <c r="I247" s="14"/>
    </row>
    <row r="248" customFormat="false" ht="15" hidden="false" customHeight="false" outlineLevel="0" collapsed="false">
      <c r="A248" s="12"/>
      <c r="B248" s="14"/>
      <c r="C248" s="12"/>
      <c r="D248" s="12"/>
      <c r="E248" s="14"/>
      <c r="F248" s="12"/>
      <c r="G248" s="12" t="n">
        <f aca="false">COUNTIF(Spots!$C:$C,$A248)</f>
        <v>0</v>
      </c>
      <c r="H248" s="13" t="str">
        <f aca="false">IFERROR(AVERAGEIFS(Spots!$K:$K,Spots!$C:$C,$A248,Spots!$F:$F,"Posted"),"")</f>
        <v/>
      </c>
      <c r="I248" s="14"/>
    </row>
    <row r="249" customFormat="false" ht="15" hidden="false" customHeight="false" outlineLevel="0" collapsed="false">
      <c r="A249" s="12"/>
      <c r="B249" s="14"/>
      <c r="C249" s="12"/>
      <c r="D249" s="12"/>
      <c r="E249" s="14"/>
      <c r="F249" s="12"/>
      <c r="G249" s="12" t="n">
        <f aca="false">COUNTIF(Spots!$C:$C,$A249)</f>
        <v>0</v>
      </c>
      <c r="H249" s="13" t="str">
        <f aca="false">IFERROR(AVERAGEIFS(Spots!$K:$K,Spots!$C:$C,$A249,Spots!$F:$F,"Posted"),"")</f>
        <v/>
      </c>
      <c r="I249" s="14"/>
    </row>
    <row r="250" customFormat="false" ht="15" hidden="false" customHeight="false" outlineLevel="0" collapsed="false">
      <c r="A250" s="12"/>
      <c r="B250" s="14"/>
      <c r="C250" s="12"/>
      <c r="D250" s="12"/>
      <c r="E250" s="14"/>
      <c r="F250" s="12"/>
      <c r="G250" s="12" t="n">
        <f aca="false">COUNTIF(Spots!$C:$C,$A250)</f>
        <v>0</v>
      </c>
      <c r="H250" s="13" t="str">
        <f aca="false">IFERROR(AVERAGEIFS(Spots!$K:$K,Spots!$C:$C,$A250,Spots!$F:$F,"Posted"),"")</f>
        <v/>
      </c>
      <c r="I250" s="14"/>
    </row>
    <row r="251" customFormat="false" ht="15" hidden="false" customHeight="false" outlineLevel="0" collapsed="false">
      <c r="A251" s="12"/>
      <c r="B251" s="14"/>
      <c r="C251" s="12"/>
      <c r="D251" s="12"/>
      <c r="E251" s="14"/>
      <c r="F251" s="12"/>
      <c r="G251" s="12" t="n">
        <f aca="false">COUNTIF(Spots!$C:$C,$A251)</f>
        <v>0</v>
      </c>
      <c r="H251" s="13" t="str">
        <f aca="false">IFERROR(AVERAGEIFS(Spots!$K:$K,Spots!$C:$C,$A251,Spots!$F:$F,"Posted"),"")</f>
        <v/>
      </c>
      <c r="I251" s="14"/>
    </row>
    <row r="252" customFormat="false" ht="15" hidden="false" customHeight="false" outlineLevel="0" collapsed="false">
      <c r="A252" s="12"/>
      <c r="B252" s="14"/>
      <c r="C252" s="12"/>
      <c r="D252" s="12"/>
      <c r="E252" s="14"/>
      <c r="F252" s="12"/>
      <c r="G252" s="12" t="n">
        <f aca="false">COUNTIF(Spots!$C:$C,$A252)</f>
        <v>0</v>
      </c>
      <c r="H252" s="13" t="str">
        <f aca="false">IFERROR(AVERAGEIFS(Spots!$K:$K,Spots!$C:$C,$A252,Spots!$F:$F,"Posted"),"")</f>
        <v/>
      </c>
      <c r="I252" s="14"/>
    </row>
    <row r="253" customFormat="false" ht="15" hidden="false" customHeight="false" outlineLevel="0" collapsed="false">
      <c r="A253" s="12"/>
      <c r="B253" s="14"/>
      <c r="C253" s="12"/>
      <c r="D253" s="12"/>
      <c r="E253" s="14"/>
      <c r="F253" s="12"/>
      <c r="G253" s="12" t="n">
        <f aca="false">COUNTIF(Spots!$C:$C,$A253)</f>
        <v>0</v>
      </c>
      <c r="H253" s="13" t="str">
        <f aca="false">IFERROR(AVERAGEIFS(Spots!$K:$K,Spots!$C:$C,$A253,Spots!$F:$F,"Posted"),"")</f>
        <v/>
      </c>
      <c r="I253" s="14"/>
    </row>
    <row r="254" customFormat="false" ht="15" hidden="false" customHeight="false" outlineLevel="0" collapsed="false">
      <c r="A254" s="12"/>
      <c r="B254" s="14"/>
      <c r="C254" s="12"/>
      <c r="D254" s="12"/>
      <c r="E254" s="14"/>
      <c r="F254" s="12"/>
      <c r="G254" s="12" t="n">
        <f aca="false">COUNTIF(Spots!$C:$C,$A254)</f>
        <v>0</v>
      </c>
      <c r="H254" s="13" t="str">
        <f aca="false">IFERROR(AVERAGEIFS(Spots!$K:$K,Spots!$C:$C,$A254,Spots!$F:$F,"Posted"),"")</f>
        <v/>
      </c>
      <c r="I254" s="14"/>
    </row>
    <row r="255" customFormat="false" ht="15" hidden="false" customHeight="false" outlineLevel="0" collapsed="false">
      <c r="A255" s="12"/>
      <c r="B255" s="14"/>
      <c r="C255" s="12"/>
      <c r="D255" s="12"/>
      <c r="E255" s="14"/>
      <c r="F255" s="12"/>
      <c r="G255" s="12" t="n">
        <f aca="false">COUNTIF(Spots!$C:$C,$A255)</f>
        <v>0</v>
      </c>
      <c r="H255" s="13" t="str">
        <f aca="false">IFERROR(AVERAGEIFS(Spots!$K:$K,Spots!$C:$C,$A255,Spots!$F:$F,"Posted"),"")</f>
        <v/>
      </c>
      <c r="I255" s="14"/>
    </row>
    <row r="256" customFormat="false" ht="15" hidden="false" customHeight="false" outlineLevel="0" collapsed="false">
      <c r="A256" s="12"/>
      <c r="B256" s="14"/>
      <c r="C256" s="12"/>
      <c r="D256" s="12"/>
      <c r="E256" s="14"/>
      <c r="F256" s="12"/>
      <c r="G256" s="12" t="n">
        <f aca="false">COUNTIF(Spots!$C:$C,$A256)</f>
        <v>0</v>
      </c>
      <c r="H256" s="13" t="str">
        <f aca="false">IFERROR(AVERAGEIFS(Spots!$K:$K,Spots!$C:$C,$A256,Spots!$F:$F,"Posted"),"")</f>
        <v/>
      </c>
      <c r="I256" s="14"/>
    </row>
    <row r="257" customFormat="false" ht="15" hidden="false" customHeight="false" outlineLevel="0" collapsed="false">
      <c r="A257" s="12"/>
      <c r="B257" s="14"/>
      <c r="C257" s="12"/>
      <c r="D257" s="12"/>
      <c r="E257" s="14"/>
      <c r="F257" s="12"/>
      <c r="G257" s="12" t="n">
        <f aca="false">COUNTIF(Spots!$C:$C,$A257)</f>
        <v>0</v>
      </c>
      <c r="H257" s="13" t="str">
        <f aca="false">IFERROR(AVERAGEIFS(Spots!$K:$K,Spots!$C:$C,$A257,Spots!$F:$F,"Posted"),"")</f>
        <v/>
      </c>
      <c r="I257" s="14"/>
    </row>
    <row r="258" customFormat="false" ht="15" hidden="false" customHeight="false" outlineLevel="0" collapsed="false">
      <c r="A258" s="12"/>
      <c r="B258" s="14"/>
      <c r="C258" s="12"/>
      <c r="D258" s="12"/>
      <c r="E258" s="14"/>
      <c r="F258" s="12"/>
      <c r="G258" s="12" t="n">
        <f aca="false">COUNTIF(Spots!$C:$C,$A258)</f>
        <v>0</v>
      </c>
      <c r="H258" s="13" t="str">
        <f aca="false">IFERROR(AVERAGEIFS(Spots!$K:$K,Spots!$C:$C,$A258,Spots!$F:$F,"Posted"),"")</f>
        <v/>
      </c>
      <c r="I258" s="14"/>
    </row>
    <row r="259" customFormat="false" ht="15" hidden="false" customHeight="false" outlineLevel="0" collapsed="false">
      <c r="A259" s="12"/>
      <c r="B259" s="14"/>
      <c r="C259" s="12"/>
      <c r="D259" s="12"/>
      <c r="E259" s="14"/>
      <c r="F259" s="12"/>
      <c r="G259" s="12" t="n">
        <f aca="false">COUNTIF(Spots!$C:$C,$A259)</f>
        <v>0</v>
      </c>
      <c r="H259" s="13" t="str">
        <f aca="false">IFERROR(AVERAGEIFS(Spots!$K:$K,Spots!$C:$C,$A259,Spots!$F:$F,"Posted"),"")</f>
        <v/>
      </c>
      <c r="I259" s="14"/>
    </row>
    <row r="260" customFormat="false" ht="15" hidden="false" customHeight="false" outlineLevel="0" collapsed="false">
      <c r="A260" s="12"/>
      <c r="B260" s="14"/>
      <c r="C260" s="12"/>
      <c r="D260" s="12"/>
      <c r="E260" s="14"/>
      <c r="F260" s="12"/>
      <c r="G260" s="12" t="n">
        <f aca="false">COUNTIF(Spots!$C:$C,$A260)</f>
        <v>0</v>
      </c>
      <c r="H260" s="13" t="str">
        <f aca="false">IFERROR(AVERAGEIFS(Spots!$K:$K,Spots!$C:$C,$A260,Spots!$F:$F,"Posted"),"")</f>
        <v/>
      </c>
      <c r="I260" s="14"/>
    </row>
    <row r="261" customFormat="false" ht="15" hidden="false" customHeight="false" outlineLevel="0" collapsed="false">
      <c r="A261" s="12"/>
      <c r="B261" s="14"/>
      <c r="C261" s="12"/>
      <c r="D261" s="12"/>
      <c r="E261" s="14"/>
      <c r="F261" s="12"/>
      <c r="G261" s="12" t="n">
        <f aca="false">COUNTIF(Spots!$C:$C,$A261)</f>
        <v>0</v>
      </c>
      <c r="H261" s="13" t="str">
        <f aca="false">IFERROR(AVERAGEIFS(Spots!$K:$K,Spots!$C:$C,$A261,Spots!$F:$F,"Posted"),"")</f>
        <v/>
      </c>
      <c r="I261" s="14"/>
    </row>
    <row r="262" customFormat="false" ht="15" hidden="false" customHeight="false" outlineLevel="0" collapsed="false">
      <c r="A262" s="12"/>
      <c r="B262" s="14"/>
      <c r="C262" s="12"/>
      <c r="D262" s="12"/>
      <c r="E262" s="14"/>
      <c r="F262" s="12"/>
      <c r="G262" s="12" t="n">
        <f aca="false">COUNTIF(Spots!$C:$C,$A262)</f>
        <v>0</v>
      </c>
      <c r="H262" s="13" t="str">
        <f aca="false">IFERROR(AVERAGEIFS(Spots!$K:$K,Spots!$C:$C,$A262,Spots!$F:$F,"Posted"),"")</f>
        <v/>
      </c>
      <c r="I262" s="14"/>
    </row>
    <row r="263" customFormat="false" ht="15" hidden="false" customHeight="false" outlineLevel="0" collapsed="false">
      <c r="A263" s="12"/>
      <c r="B263" s="14"/>
      <c r="C263" s="12"/>
      <c r="D263" s="12"/>
      <c r="E263" s="14"/>
      <c r="F263" s="12"/>
      <c r="G263" s="12" t="n">
        <f aca="false">COUNTIF(Spots!$C:$C,$A263)</f>
        <v>0</v>
      </c>
      <c r="H263" s="13" t="str">
        <f aca="false">IFERROR(AVERAGEIFS(Spots!$K:$K,Spots!$C:$C,$A263,Spots!$F:$F,"Posted"),"")</f>
        <v/>
      </c>
      <c r="I263" s="14"/>
    </row>
    <row r="264" customFormat="false" ht="15" hidden="false" customHeight="false" outlineLevel="0" collapsed="false">
      <c r="A264" s="12"/>
      <c r="B264" s="14"/>
      <c r="C264" s="12"/>
      <c r="D264" s="12"/>
      <c r="E264" s="14"/>
      <c r="F264" s="12"/>
      <c r="G264" s="12" t="n">
        <f aca="false">COUNTIF(Spots!$C:$C,$A264)</f>
        <v>0</v>
      </c>
      <c r="H264" s="13" t="str">
        <f aca="false">IFERROR(AVERAGEIFS(Spots!$K:$K,Spots!$C:$C,$A264,Spots!$F:$F,"Posted"),"")</f>
        <v/>
      </c>
      <c r="I264" s="14"/>
    </row>
    <row r="265" customFormat="false" ht="15" hidden="false" customHeight="false" outlineLevel="0" collapsed="false">
      <c r="A265" s="12"/>
      <c r="B265" s="14"/>
      <c r="C265" s="12"/>
      <c r="D265" s="12"/>
      <c r="E265" s="14"/>
      <c r="F265" s="12"/>
      <c r="G265" s="12" t="n">
        <f aca="false">COUNTIF(Spots!$C:$C,$A265)</f>
        <v>0</v>
      </c>
      <c r="H265" s="13" t="str">
        <f aca="false">IFERROR(AVERAGEIFS(Spots!$K:$K,Spots!$C:$C,$A265,Spots!$F:$F,"Posted"),"")</f>
        <v/>
      </c>
      <c r="I265" s="14"/>
    </row>
    <row r="266" customFormat="false" ht="15" hidden="false" customHeight="false" outlineLevel="0" collapsed="false">
      <c r="A266" s="12"/>
      <c r="B266" s="14"/>
      <c r="C266" s="12"/>
      <c r="D266" s="12"/>
      <c r="E266" s="14"/>
      <c r="F266" s="12"/>
      <c r="G266" s="12" t="n">
        <f aca="false">COUNTIF(Spots!$C:$C,$A266)</f>
        <v>0</v>
      </c>
      <c r="H266" s="13" t="str">
        <f aca="false">IFERROR(AVERAGEIFS(Spots!$K:$K,Spots!$C:$C,$A266,Spots!$F:$F,"Posted"),"")</f>
        <v/>
      </c>
      <c r="I266" s="14"/>
    </row>
    <row r="267" customFormat="false" ht="15" hidden="false" customHeight="false" outlineLevel="0" collapsed="false">
      <c r="A267" s="12"/>
      <c r="B267" s="14"/>
      <c r="C267" s="12"/>
      <c r="D267" s="12"/>
      <c r="E267" s="14"/>
      <c r="F267" s="12"/>
      <c r="G267" s="12" t="n">
        <f aca="false">COUNTIF(Spots!$C:$C,$A267)</f>
        <v>0</v>
      </c>
      <c r="H267" s="13" t="str">
        <f aca="false">IFERROR(AVERAGEIFS(Spots!$K:$K,Spots!$C:$C,$A267,Spots!$F:$F,"Posted"),"")</f>
        <v/>
      </c>
      <c r="I267" s="14"/>
    </row>
    <row r="268" customFormat="false" ht="15" hidden="false" customHeight="false" outlineLevel="0" collapsed="false">
      <c r="A268" s="12"/>
      <c r="B268" s="14"/>
      <c r="C268" s="12"/>
      <c r="D268" s="12"/>
      <c r="E268" s="14"/>
      <c r="F268" s="12"/>
      <c r="G268" s="12" t="n">
        <f aca="false">COUNTIF(Spots!$C:$C,$A268)</f>
        <v>0</v>
      </c>
      <c r="H268" s="13" t="str">
        <f aca="false">IFERROR(AVERAGEIFS(Spots!$K:$K,Spots!$C:$C,$A268,Spots!$F:$F,"Posted"),"")</f>
        <v/>
      </c>
      <c r="I268" s="14"/>
    </row>
    <row r="269" customFormat="false" ht="15" hidden="false" customHeight="false" outlineLevel="0" collapsed="false">
      <c r="A269" s="12"/>
      <c r="B269" s="14"/>
      <c r="C269" s="12"/>
      <c r="D269" s="12"/>
      <c r="E269" s="14"/>
      <c r="F269" s="12"/>
      <c r="G269" s="12" t="n">
        <f aca="false">COUNTIF(Spots!$C:$C,$A269)</f>
        <v>0</v>
      </c>
      <c r="H269" s="13" t="str">
        <f aca="false">IFERROR(AVERAGEIFS(Spots!$K:$K,Spots!$C:$C,$A269,Spots!$F:$F,"Posted"),"")</f>
        <v/>
      </c>
      <c r="I269" s="14"/>
    </row>
    <row r="270" customFormat="false" ht="15" hidden="false" customHeight="false" outlineLevel="0" collapsed="false">
      <c r="A270" s="12"/>
      <c r="B270" s="14"/>
      <c r="C270" s="12"/>
      <c r="D270" s="12"/>
      <c r="E270" s="14"/>
      <c r="F270" s="12"/>
      <c r="G270" s="12" t="n">
        <f aca="false">COUNTIF(Spots!$C:$C,$A270)</f>
        <v>0</v>
      </c>
      <c r="H270" s="13" t="str">
        <f aca="false">IFERROR(AVERAGEIFS(Spots!$K:$K,Spots!$C:$C,$A270,Spots!$F:$F,"Posted"),"")</f>
        <v/>
      </c>
      <c r="I270" s="14"/>
    </row>
    <row r="271" customFormat="false" ht="15" hidden="false" customHeight="false" outlineLevel="0" collapsed="false">
      <c r="A271" s="12"/>
      <c r="B271" s="14"/>
      <c r="C271" s="12"/>
      <c r="D271" s="12"/>
      <c r="E271" s="14"/>
      <c r="F271" s="12"/>
      <c r="G271" s="12" t="n">
        <f aca="false">COUNTIF(Spots!$C:$C,$A271)</f>
        <v>0</v>
      </c>
      <c r="H271" s="13" t="str">
        <f aca="false">IFERROR(AVERAGEIFS(Spots!$K:$K,Spots!$C:$C,$A271,Spots!$F:$F,"Posted"),"")</f>
        <v/>
      </c>
      <c r="I271" s="14"/>
    </row>
    <row r="272" customFormat="false" ht="15" hidden="false" customHeight="false" outlineLevel="0" collapsed="false">
      <c r="A272" s="12"/>
      <c r="B272" s="14"/>
      <c r="C272" s="12"/>
      <c r="D272" s="12"/>
      <c r="E272" s="14"/>
      <c r="F272" s="12"/>
      <c r="G272" s="12" t="n">
        <f aca="false">COUNTIF(Spots!$C:$C,$A272)</f>
        <v>0</v>
      </c>
      <c r="H272" s="13" t="str">
        <f aca="false">IFERROR(AVERAGEIFS(Spots!$K:$K,Spots!$C:$C,$A272,Spots!$F:$F,"Posted"),"")</f>
        <v/>
      </c>
      <c r="I272" s="14"/>
    </row>
    <row r="273" customFormat="false" ht="15" hidden="false" customHeight="false" outlineLevel="0" collapsed="false">
      <c r="A273" s="12"/>
      <c r="B273" s="14"/>
      <c r="C273" s="12"/>
      <c r="D273" s="12"/>
      <c r="E273" s="14"/>
      <c r="F273" s="12"/>
      <c r="G273" s="12" t="n">
        <f aca="false">COUNTIF(Spots!$C:$C,$A273)</f>
        <v>0</v>
      </c>
      <c r="H273" s="13" t="str">
        <f aca="false">IFERROR(AVERAGEIFS(Spots!$K:$K,Spots!$C:$C,$A273,Spots!$F:$F,"Posted"),"")</f>
        <v/>
      </c>
      <c r="I273" s="14"/>
    </row>
    <row r="274" customFormat="false" ht="15" hidden="false" customHeight="false" outlineLevel="0" collapsed="false">
      <c r="A274" s="12"/>
      <c r="B274" s="14"/>
      <c r="C274" s="12"/>
      <c r="D274" s="12"/>
      <c r="E274" s="14"/>
      <c r="F274" s="12"/>
      <c r="G274" s="12" t="n">
        <f aca="false">COUNTIF(Spots!$C:$C,$A274)</f>
        <v>0</v>
      </c>
      <c r="H274" s="13" t="str">
        <f aca="false">IFERROR(AVERAGEIFS(Spots!$K:$K,Spots!$C:$C,$A274,Spots!$F:$F,"Posted"),"")</f>
        <v/>
      </c>
      <c r="I274" s="14"/>
    </row>
    <row r="275" customFormat="false" ht="15" hidden="false" customHeight="false" outlineLevel="0" collapsed="false">
      <c r="A275" s="12"/>
      <c r="B275" s="14"/>
      <c r="C275" s="12"/>
      <c r="D275" s="12"/>
      <c r="E275" s="14"/>
      <c r="F275" s="12"/>
      <c r="G275" s="12" t="n">
        <f aca="false">COUNTIF(Spots!$C:$C,$A275)</f>
        <v>0</v>
      </c>
      <c r="H275" s="13" t="str">
        <f aca="false">IFERROR(AVERAGEIFS(Spots!$K:$K,Spots!$C:$C,$A275,Spots!$F:$F,"Posted"),"")</f>
        <v/>
      </c>
      <c r="I275" s="14"/>
    </row>
    <row r="276" customFormat="false" ht="15" hidden="false" customHeight="false" outlineLevel="0" collapsed="false">
      <c r="A276" s="12"/>
      <c r="B276" s="14"/>
      <c r="C276" s="12"/>
      <c r="D276" s="12"/>
      <c r="E276" s="14"/>
      <c r="F276" s="12"/>
      <c r="G276" s="12" t="n">
        <f aca="false">COUNTIF(Spots!$C:$C,$A276)</f>
        <v>0</v>
      </c>
      <c r="H276" s="13" t="str">
        <f aca="false">IFERROR(AVERAGEIFS(Spots!$K:$K,Spots!$C:$C,$A276,Spots!$F:$F,"Posted"),"")</f>
        <v/>
      </c>
      <c r="I276" s="14"/>
    </row>
    <row r="277" customFormat="false" ht="15" hidden="false" customHeight="false" outlineLevel="0" collapsed="false">
      <c r="A277" s="12"/>
      <c r="B277" s="14"/>
      <c r="C277" s="12"/>
      <c r="D277" s="12"/>
      <c r="E277" s="14"/>
      <c r="F277" s="12"/>
      <c r="G277" s="12" t="n">
        <f aca="false">COUNTIF(Spots!$C:$C,$A277)</f>
        <v>0</v>
      </c>
      <c r="H277" s="13" t="str">
        <f aca="false">IFERROR(AVERAGEIFS(Spots!$K:$K,Spots!$C:$C,$A277,Spots!$F:$F,"Posted"),"")</f>
        <v/>
      </c>
      <c r="I277" s="14"/>
    </row>
    <row r="278" customFormat="false" ht="15" hidden="false" customHeight="false" outlineLevel="0" collapsed="false">
      <c r="A278" s="12"/>
      <c r="B278" s="14"/>
      <c r="C278" s="12"/>
      <c r="D278" s="12"/>
      <c r="E278" s="14"/>
      <c r="F278" s="12"/>
      <c r="G278" s="12" t="n">
        <f aca="false">COUNTIF(Spots!$C:$C,$A278)</f>
        <v>0</v>
      </c>
      <c r="H278" s="13" t="str">
        <f aca="false">IFERROR(AVERAGEIFS(Spots!$K:$K,Spots!$C:$C,$A278,Spots!$F:$F,"Posted"),"")</f>
        <v/>
      </c>
      <c r="I278" s="14"/>
    </row>
    <row r="279" customFormat="false" ht="15" hidden="false" customHeight="false" outlineLevel="0" collapsed="false">
      <c r="A279" s="12"/>
      <c r="B279" s="14"/>
      <c r="C279" s="12"/>
      <c r="D279" s="12"/>
      <c r="E279" s="14"/>
      <c r="F279" s="12"/>
      <c r="G279" s="12" t="n">
        <f aca="false">COUNTIF(Spots!$C:$C,$A279)</f>
        <v>0</v>
      </c>
      <c r="H279" s="13" t="str">
        <f aca="false">IFERROR(AVERAGEIFS(Spots!$K:$K,Spots!$C:$C,$A279,Spots!$F:$F,"Posted"),"")</f>
        <v/>
      </c>
      <c r="I279" s="14"/>
    </row>
    <row r="280" customFormat="false" ht="15" hidden="false" customHeight="false" outlineLevel="0" collapsed="false">
      <c r="A280" s="12"/>
      <c r="B280" s="14"/>
      <c r="C280" s="12"/>
      <c r="D280" s="12"/>
      <c r="E280" s="14"/>
      <c r="F280" s="12"/>
      <c r="G280" s="12" t="n">
        <f aca="false">COUNTIF(Spots!$C:$C,$A280)</f>
        <v>0</v>
      </c>
      <c r="H280" s="13" t="str">
        <f aca="false">IFERROR(AVERAGEIFS(Spots!$K:$K,Spots!$C:$C,$A280,Spots!$F:$F,"Posted"),"")</f>
        <v/>
      </c>
      <c r="I280" s="14"/>
    </row>
    <row r="281" customFormat="false" ht="15" hidden="false" customHeight="false" outlineLevel="0" collapsed="false">
      <c r="A281" s="12"/>
      <c r="B281" s="14"/>
      <c r="C281" s="12"/>
      <c r="D281" s="12"/>
      <c r="E281" s="14"/>
      <c r="F281" s="12"/>
      <c r="G281" s="12" t="n">
        <f aca="false">COUNTIF(Spots!$C:$C,$A281)</f>
        <v>0</v>
      </c>
      <c r="H281" s="13" t="str">
        <f aca="false">IFERROR(AVERAGEIFS(Spots!$K:$K,Spots!$C:$C,$A281,Spots!$F:$F,"Posted"),"")</f>
        <v/>
      </c>
      <c r="I281" s="14"/>
    </row>
    <row r="282" customFormat="false" ht="15" hidden="false" customHeight="false" outlineLevel="0" collapsed="false">
      <c r="A282" s="12"/>
      <c r="B282" s="14"/>
      <c r="C282" s="12"/>
      <c r="D282" s="12"/>
      <c r="E282" s="14"/>
      <c r="F282" s="12"/>
      <c r="G282" s="12" t="n">
        <f aca="false">COUNTIF(Spots!$C:$C,$A282)</f>
        <v>0</v>
      </c>
      <c r="H282" s="13" t="str">
        <f aca="false">IFERROR(AVERAGEIFS(Spots!$K:$K,Spots!$C:$C,$A282,Spots!$F:$F,"Posted"),"")</f>
        <v/>
      </c>
      <c r="I282" s="14"/>
    </row>
    <row r="283" customFormat="false" ht="15" hidden="false" customHeight="false" outlineLevel="0" collapsed="false">
      <c r="A283" s="12"/>
      <c r="B283" s="14"/>
      <c r="C283" s="12"/>
      <c r="D283" s="12"/>
      <c r="E283" s="14"/>
      <c r="F283" s="12"/>
      <c r="G283" s="12" t="n">
        <f aca="false">COUNTIF(Spots!$C:$C,$A283)</f>
        <v>0</v>
      </c>
      <c r="H283" s="13" t="str">
        <f aca="false">IFERROR(AVERAGEIFS(Spots!$K:$K,Spots!$C:$C,$A283,Spots!$F:$F,"Posted"),"")</f>
        <v/>
      </c>
      <c r="I283" s="14"/>
    </row>
    <row r="284" customFormat="false" ht="15" hidden="false" customHeight="false" outlineLevel="0" collapsed="false">
      <c r="A284" s="12"/>
      <c r="B284" s="14"/>
      <c r="C284" s="12"/>
      <c r="D284" s="12"/>
      <c r="E284" s="14"/>
      <c r="F284" s="12"/>
      <c r="G284" s="12" t="n">
        <f aca="false">COUNTIF(Spots!$C:$C,$A284)</f>
        <v>0</v>
      </c>
      <c r="H284" s="13" t="str">
        <f aca="false">IFERROR(AVERAGEIFS(Spots!$K:$K,Spots!$C:$C,$A284,Spots!$F:$F,"Posted"),"")</f>
        <v/>
      </c>
      <c r="I284" s="14"/>
    </row>
    <row r="285" customFormat="false" ht="15" hidden="false" customHeight="false" outlineLevel="0" collapsed="false">
      <c r="A285" s="12"/>
      <c r="B285" s="14"/>
      <c r="C285" s="12"/>
      <c r="D285" s="12"/>
      <c r="E285" s="14"/>
      <c r="F285" s="12"/>
      <c r="G285" s="12" t="n">
        <f aca="false">COUNTIF(Spots!$C:$C,$A285)</f>
        <v>0</v>
      </c>
      <c r="H285" s="13" t="str">
        <f aca="false">IFERROR(AVERAGEIFS(Spots!$K:$K,Spots!$C:$C,$A285,Spots!$F:$F,"Posted"),"")</f>
        <v/>
      </c>
      <c r="I285" s="14"/>
    </row>
    <row r="286" customFormat="false" ht="15" hidden="false" customHeight="false" outlineLevel="0" collapsed="false">
      <c r="A286" s="12"/>
      <c r="B286" s="14"/>
      <c r="C286" s="12"/>
      <c r="D286" s="12"/>
      <c r="E286" s="14"/>
      <c r="F286" s="12"/>
      <c r="G286" s="12" t="n">
        <f aca="false">COUNTIF(Spots!$C:$C,$A286)</f>
        <v>0</v>
      </c>
      <c r="H286" s="13" t="str">
        <f aca="false">IFERROR(AVERAGEIFS(Spots!$K:$K,Spots!$C:$C,$A286,Spots!$F:$F,"Posted"),"")</f>
        <v/>
      </c>
      <c r="I286" s="14"/>
    </row>
    <row r="287" customFormat="false" ht="15" hidden="false" customHeight="false" outlineLevel="0" collapsed="false">
      <c r="A287" s="12"/>
      <c r="B287" s="14"/>
      <c r="C287" s="12"/>
      <c r="D287" s="12"/>
      <c r="E287" s="14"/>
      <c r="F287" s="12"/>
      <c r="G287" s="12" t="n">
        <f aca="false">COUNTIF(Spots!$C:$C,$A287)</f>
        <v>0</v>
      </c>
      <c r="H287" s="13" t="str">
        <f aca="false">IFERROR(AVERAGEIFS(Spots!$K:$K,Spots!$C:$C,$A287,Spots!$F:$F,"Posted"),"")</f>
        <v/>
      </c>
      <c r="I287" s="14"/>
    </row>
    <row r="288" customFormat="false" ht="15" hidden="false" customHeight="false" outlineLevel="0" collapsed="false">
      <c r="A288" s="12"/>
      <c r="B288" s="14"/>
      <c r="C288" s="12"/>
      <c r="D288" s="12"/>
      <c r="E288" s="14"/>
      <c r="F288" s="12"/>
      <c r="G288" s="12" t="n">
        <f aca="false">COUNTIF(Spots!$C:$C,$A288)</f>
        <v>0</v>
      </c>
      <c r="H288" s="13" t="str">
        <f aca="false">IFERROR(AVERAGEIFS(Spots!$K:$K,Spots!$C:$C,$A288,Spots!$F:$F,"Posted"),"")</f>
        <v/>
      </c>
      <c r="I288" s="14"/>
    </row>
    <row r="289" customFormat="false" ht="15" hidden="false" customHeight="false" outlineLevel="0" collapsed="false">
      <c r="A289" s="12"/>
      <c r="B289" s="14"/>
      <c r="C289" s="12"/>
      <c r="D289" s="12"/>
      <c r="E289" s="14"/>
      <c r="F289" s="12"/>
      <c r="G289" s="12" t="n">
        <f aca="false">COUNTIF(Spots!$C:$C,$A289)</f>
        <v>0</v>
      </c>
      <c r="H289" s="13" t="str">
        <f aca="false">IFERROR(AVERAGEIFS(Spots!$K:$K,Spots!$C:$C,$A289,Spots!$F:$F,"Posted"),"")</f>
        <v/>
      </c>
      <c r="I289" s="14"/>
    </row>
    <row r="290" customFormat="false" ht="15" hidden="false" customHeight="false" outlineLevel="0" collapsed="false">
      <c r="A290" s="12"/>
      <c r="B290" s="14"/>
      <c r="C290" s="12"/>
      <c r="D290" s="12"/>
      <c r="E290" s="14"/>
      <c r="F290" s="12"/>
      <c r="G290" s="12" t="n">
        <f aca="false">COUNTIF(Spots!$C:$C,$A290)</f>
        <v>0</v>
      </c>
      <c r="H290" s="13" t="str">
        <f aca="false">IFERROR(AVERAGEIFS(Spots!$K:$K,Spots!$C:$C,$A290,Spots!$F:$F,"Posted"),"")</f>
        <v/>
      </c>
      <c r="I290" s="14"/>
    </row>
    <row r="291" customFormat="false" ht="15" hidden="false" customHeight="false" outlineLevel="0" collapsed="false">
      <c r="A291" s="12"/>
      <c r="B291" s="14"/>
      <c r="C291" s="12"/>
      <c r="D291" s="12"/>
      <c r="E291" s="14"/>
      <c r="F291" s="12"/>
      <c r="G291" s="12" t="n">
        <f aca="false">COUNTIF(Spots!$C:$C,$A291)</f>
        <v>0</v>
      </c>
      <c r="H291" s="13" t="str">
        <f aca="false">IFERROR(AVERAGEIFS(Spots!$K:$K,Spots!$C:$C,$A291,Spots!$F:$F,"Posted"),"")</f>
        <v/>
      </c>
      <c r="I291" s="14"/>
    </row>
    <row r="292" customFormat="false" ht="15" hidden="false" customHeight="false" outlineLevel="0" collapsed="false">
      <c r="A292" s="12"/>
      <c r="B292" s="14"/>
      <c r="C292" s="12"/>
      <c r="D292" s="12"/>
      <c r="E292" s="14"/>
      <c r="F292" s="12"/>
      <c r="G292" s="12" t="n">
        <f aca="false">COUNTIF(Spots!$C:$C,$A292)</f>
        <v>0</v>
      </c>
      <c r="H292" s="13" t="str">
        <f aca="false">IFERROR(AVERAGEIFS(Spots!$K:$K,Spots!$C:$C,$A292,Spots!$F:$F,"Posted"),"")</f>
        <v/>
      </c>
      <c r="I292" s="14"/>
    </row>
    <row r="293" customFormat="false" ht="15" hidden="false" customHeight="false" outlineLevel="0" collapsed="false">
      <c r="A293" s="12"/>
      <c r="B293" s="14"/>
      <c r="C293" s="12"/>
      <c r="D293" s="12"/>
      <c r="E293" s="14"/>
      <c r="F293" s="12"/>
      <c r="G293" s="12" t="n">
        <f aca="false">COUNTIF(Spots!$C:$C,$A293)</f>
        <v>0</v>
      </c>
      <c r="H293" s="13" t="str">
        <f aca="false">IFERROR(AVERAGEIFS(Spots!$K:$K,Spots!$C:$C,$A293,Spots!$F:$F,"Posted"),"")</f>
        <v/>
      </c>
      <c r="I293" s="14"/>
    </row>
    <row r="294" customFormat="false" ht="15" hidden="false" customHeight="false" outlineLevel="0" collapsed="false">
      <c r="A294" s="12"/>
      <c r="B294" s="14"/>
      <c r="C294" s="12"/>
      <c r="D294" s="12"/>
      <c r="E294" s="14"/>
      <c r="F294" s="12"/>
      <c r="G294" s="12" t="n">
        <f aca="false">COUNTIF(Spots!$C:$C,$A294)</f>
        <v>0</v>
      </c>
      <c r="H294" s="13" t="str">
        <f aca="false">IFERROR(AVERAGEIFS(Spots!$K:$K,Spots!$C:$C,$A294,Spots!$F:$F,"Posted"),"")</f>
        <v/>
      </c>
      <c r="I294" s="14"/>
    </row>
    <row r="295" customFormat="false" ht="15" hidden="false" customHeight="false" outlineLevel="0" collapsed="false">
      <c r="A295" s="12"/>
      <c r="B295" s="14"/>
      <c r="C295" s="12"/>
      <c r="D295" s="12"/>
      <c r="E295" s="14"/>
      <c r="F295" s="12"/>
      <c r="G295" s="12" t="n">
        <f aca="false">COUNTIF(Spots!$C:$C,$A295)</f>
        <v>0</v>
      </c>
      <c r="H295" s="13" t="str">
        <f aca="false">IFERROR(AVERAGEIFS(Spots!$K:$K,Spots!$C:$C,$A295,Spots!$F:$F,"Posted"),"")</f>
        <v/>
      </c>
      <c r="I295" s="14"/>
    </row>
    <row r="296" customFormat="false" ht="15" hidden="false" customHeight="false" outlineLevel="0" collapsed="false">
      <c r="A296" s="12"/>
      <c r="B296" s="14"/>
      <c r="C296" s="12"/>
      <c r="D296" s="12"/>
      <c r="E296" s="14"/>
      <c r="F296" s="12"/>
      <c r="G296" s="12" t="n">
        <f aca="false">COUNTIF(Spots!$C:$C,$A296)</f>
        <v>0</v>
      </c>
      <c r="H296" s="13" t="str">
        <f aca="false">IFERROR(AVERAGEIFS(Spots!$K:$K,Spots!$C:$C,$A296,Spots!$F:$F,"Posted"),"")</f>
        <v/>
      </c>
      <c r="I296" s="14"/>
    </row>
    <row r="297" customFormat="false" ht="15" hidden="false" customHeight="false" outlineLevel="0" collapsed="false">
      <c r="A297" s="12"/>
      <c r="B297" s="14"/>
      <c r="C297" s="12"/>
      <c r="D297" s="12"/>
      <c r="E297" s="14"/>
      <c r="F297" s="12"/>
      <c r="G297" s="12" t="n">
        <f aca="false">COUNTIF(Spots!$C:$C,$A297)</f>
        <v>0</v>
      </c>
      <c r="H297" s="13" t="str">
        <f aca="false">IFERROR(AVERAGEIFS(Spots!$K:$K,Spots!$C:$C,$A297,Spots!$F:$F,"Posted"),"")</f>
        <v/>
      </c>
      <c r="I297" s="14"/>
    </row>
    <row r="298" customFormat="false" ht="15" hidden="false" customHeight="false" outlineLevel="0" collapsed="false">
      <c r="A298" s="12"/>
      <c r="B298" s="14"/>
      <c r="C298" s="12"/>
      <c r="D298" s="12"/>
      <c r="E298" s="14"/>
      <c r="F298" s="12"/>
      <c r="G298" s="12" t="n">
        <f aca="false">COUNTIF(Spots!$C:$C,$A298)</f>
        <v>0</v>
      </c>
      <c r="H298" s="13" t="str">
        <f aca="false">IFERROR(AVERAGEIFS(Spots!$K:$K,Spots!$C:$C,$A298,Spots!$F:$F,"Posted"),"")</f>
        <v/>
      </c>
      <c r="I298" s="14"/>
    </row>
    <row r="299" customFormat="false" ht="15" hidden="false" customHeight="false" outlineLevel="0" collapsed="false">
      <c r="A299" s="12"/>
      <c r="B299" s="14"/>
      <c r="C299" s="12"/>
      <c r="D299" s="12"/>
      <c r="E299" s="14"/>
      <c r="F299" s="12"/>
      <c r="G299" s="12" t="n">
        <f aca="false">COUNTIF(Spots!$C:$C,$A299)</f>
        <v>0</v>
      </c>
      <c r="H299" s="13" t="str">
        <f aca="false">IFERROR(AVERAGEIFS(Spots!$K:$K,Spots!$C:$C,$A299,Spots!$F:$F,"Posted"),"")</f>
        <v/>
      </c>
      <c r="I299" s="14"/>
    </row>
    <row r="300" customFormat="false" ht="15" hidden="false" customHeight="false" outlineLevel="0" collapsed="false">
      <c r="A300" s="12"/>
      <c r="B300" s="14"/>
      <c r="C300" s="12"/>
      <c r="D300" s="12"/>
      <c r="E300" s="14"/>
      <c r="F300" s="12"/>
      <c r="G300" s="12" t="n">
        <f aca="false">COUNTIF(Spots!$C:$C,$A300)</f>
        <v>0</v>
      </c>
      <c r="H300" s="13" t="str">
        <f aca="false">IFERROR(AVERAGEIFS(Spots!$K:$K,Spots!$C:$C,$A300,Spots!$F:$F,"Posted"),"")</f>
        <v/>
      </c>
      <c r="I300" s="14"/>
    </row>
    <row r="301" customFormat="false" ht="15" hidden="false" customHeight="false" outlineLevel="0" collapsed="false">
      <c r="A301" s="12"/>
      <c r="B301" s="14"/>
      <c r="C301" s="12"/>
      <c r="D301" s="12"/>
      <c r="E301" s="14"/>
      <c r="F301" s="12"/>
      <c r="G301" s="12" t="n">
        <f aca="false">COUNTIF(Spots!$C:$C,$A301)</f>
        <v>0</v>
      </c>
      <c r="H301" s="13" t="str">
        <f aca="false">IFERROR(AVERAGEIFS(Spots!$K:$K,Spots!$C:$C,$A301,Spots!$F:$F,"Posted"),"")</f>
        <v/>
      </c>
      <c r="I301" s="14"/>
    </row>
    <row r="302" customFormat="false" ht="15" hidden="false" customHeight="false" outlineLevel="0" collapsed="false">
      <c r="A302" s="12"/>
      <c r="B302" s="14"/>
      <c r="C302" s="12"/>
      <c r="D302" s="12"/>
      <c r="E302" s="14"/>
      <c r="F302" s="12"/>
      <c r="G302" s="12" t="n">
        <f aca="false">COUNTIF(Spots!$C:$C,$A302)</f>
        <v>0</v>
      </c>
      <c r="H302" s="13" t="str">
        <f aca="false">IFERROR(AVERAGEIFS(Spots!$K:$K,Spots!$C:$C,$A302,Spots!$F:$F,"Posted"),"")</f>
        <v/>
      </c>
      <c r="I302" s="14"/>
    </row>
    <row r="303" customFormat="false" ht="15" hidden="false" customHeight="false" outlineLevel="0" collapsed="false">
      <c r="A303" s="12"/>
      <c r="B303" s="14"/>
      <c r="C303" s="12"/>
      <c r="D303" s="12"/>
      <c r="E303" s="14"/>
      <c r="F303" s="12"/>
      <c r="G303" s="12" t="n">
        <f aca="false">COUNTIF(Spots!$C:$C,$A303)</f>
        <v>0</v>
      </c>
      <c r="H303" s="13" t="str">
        <f aca="false">IFERROR(AVERAGEIFS(Spots!$K:$K,Spots!$C:$C,$A303,Spots!$F:$F,"Posted"),"")</f>
        <v/>
      </c>
      <c r="I303" s="14"/>
    </row>
    <row r="304" customFormat="false" ht="15" hidden="false" customHeight="false" outlineLevel="0" collapsed="false">
      <c r="A304" s="12"/>
      <c r="B304" s="14"/>
      <c r="C304" s="12"/>
      <c r="D304" s="12"/>
      <c r="E304" s="14"/>
      <c r="F304" s="12"/>
      <c r="G304" s="12" t="n">
        <f aca="false">COUNTIF(Spots!$C:$C,$A304)</f>
        <v>0</v>
      </c>
      <c r="H304" s="13" t="str">
        <f aca="false">IFERROR(AVERAGEIFS(Spots!$K:$K,Spots!$C:$C,$A304,Spots!$F:$F,"Posted"),"")</f>
        <v/>
      </c>
      <c r="I304" s="14"/>
    </row>
    <row r="305" customFormat="false" ht="15" hidden="false" customHeight="false" outlineLevel="0" collapsed="false">
      <c r="A305" s="12"/>
      <c r="B305" s="14"/>
      <c r="C305" s="12"/>
      <c r="D305" s="12"/>
      <c r="E305" s="14"/>
      <c r="F305" s="12"/>
      <c r="G305" s="12" t="n">
        <f aca="false">COUNTIF(Spots!$C:$C,$A305)</f>
        <v>0</v>
      </c>
      <c r="H305" s="13" t="str">
        <f aca="false">IFERROR(AVERAGEIFS(Spots!$K:$K,Spots!$C:$C,$A305,Spots!$F:$F,"Posted"),"")</f>
        <v/>
      </c>
      <c r="I305" s="14"/>
    </row>
    <row r="306" customFormat="false" ht="15" hidden="false" customHeight="false" outlineLevel="0" collapsed="false">
      <c r="A306" s="12"/>
      <c r="B306" s="14"/>
      <c r="C306" s="12"/>
      <c r="D306" s="12"/>
      <c r="E306" s="14"/>
      <c r="F306" s="12"/>
      <c r="G306" s="12" t="n">
        <f aca="false">COUNTIF(Spots!$C:$C,$A306)</f>
        <v>0</v>
      </c>
      <c r="H306" s="13" t="str">
        <f aca="false">IFERROR(AVERAGEIFS(Spots!$K:$K,Spots!$C:$C,$A306,Spots!$F:$F,"Posted"),"")</f>
        <v/>
      </c>
      <c r="I306" s="14"/>
    </row>
    <row r="307" customFormat="false" ht="15" hidden="false" customHeight="false" outlineLevel="0" collapsed="false">
      <c r="A307" s="12"/>
      <c r="B307" s="14"/>
      <c r="C307" s="12"/>
      <c r="D307" s="12"/>
      <c r="E307" s="14"/>
      <c r="F307" s="12"/>
      <c r="G307" s="12" t="n">
        <f aca="false">COUNTIF(Spots!$C:$C,$A307)</f>
        <v>0</v>
      </c>
      <c r="H307" s="13" t="str">
        <f aca="false">IFERROR(AVERAGEIFS(Spots!$K:$K,Spots!$C:$C,$A307,Spots!$F:$F,"Posted"),"")</f>
        <v/>
      </c>
      <c r="I307" s="14"/>
    </row>
    <row r="308" customFormat="false" ht="15" hidden="false" customHeight="false" outlineLevel="0" collapsed="false">
      <c r="A308" s="12"/>
      <c r="B308" s="14"/>
      <c r="C308" s="12"/>
      <c r="D308" s="12"/>
      <c r="E308" s="14"/>
      <c r="F308" s="12"/>
      <c r="G308" s="12" t="n">
        <f aca="false">COUNTIF(Spots!$C:$C,$A308)</f>
        <v>0</v>
      </c>
      <c r="H308" s="13" t="str">
        <f aca="false">IFERROR(AVERAGEIFS(Spots!$K:$K,Spots!$C:$C,$A308,Spots!$F:$F,"Posted"),"")</f>
        <v/>
      </c>
      <c r="I308" s="14"/>
    </row>
    <row r="309" customFormat="false" ht="15" hidden="false" customHeight="false" outlineLevel="0" collapsed="false">
      <c r="A309" s="12"/>
      <c r="B309" s="14"/>
      <c r="C309" s="12"/>
      <c r="D309" s="12"/>
      <c r="E309" s="14"/>
      <c r="F309" s="12"/>
      <c r="G309" s="12" t="n">
        <f aca="false">COUNTIF(Spots!$C:$C,$A309)</f>
        <v>0</v>
      </c>
      <c r="H309" s="13" t="str">
        <f aca="false">IFERROR(AVERAGEIFS(Spots!$K:$K,Spots!$C:$C,$A309,Spots!$F:$F,"Posted"),"")</f>
        <v/>
      </c>
      <c r="I309" s="14"/>
    </row>
    <row r="310" customFormat="false" ht="15" hidden="false" customHeight="false" outlineLevel="0" collapsed="false">
      <c r="A310" s="12"/>
      <c r="B310" s="14"/>
      <c r="C310" s="12"/>
      <c r="D310" s="12"/>
      <c r="E310" s="14"/>
      <c r="F310" s="12"/>
      <c r="G310" s="12" t="n">
        <f aca="false">COUNTIF(Spots!$C:$C,$A310)</f>
        <v>0</v>
      </c>
      <c r="H310" s="13" t="str">
        <f aca="false">IFERROR(AVERAGEIFS(Spots!$K:$K,Spots!$C:$C,$A310,Spots!$F:$F,"Posted"),"")</f>
        <v/>
      </c>
      <c r="I310" s="14"/>
    </row>
    <row r="311" customFormat="false" ht="15" hidden="false" customHeight="false" outlineLevel="0" collapsed="false">
      <c r="A311" s="12"/>
      <c r="B311" s="14"/>
      <c r="C311" s="12"/>
      <c r="D311" s="12"/>
      <c r="E311" s="14"/>
      <c r="F311" s="12"/>
      <c r="G311" s="12" t="n">
        <f aca="false">COUNTIF(Spots!$C:$C,$A311)</f>
        <v>0</v>
      </c>
      <c r="H311" s="13" t="str">
        <f aca="false">IFERROR(AVERAGEIFS(Spots!$K:$K,Spots!$C:$C,$A311,Spots!$F:$F,"Posted"),"")</f>
        <v/>
      </c>
      <c r="I311" s="14"/>
    </row>
    <row r="312" customFormat="false" ht="15" hidden="false" customHeight="false" outlineLevel="0" collapsed="false">
      <c r="A312" s="12"/>
      <c r="B312" s="14"/>
      <c r="C312" s="12"/>
      <c r="D312" s="12"/>
      <c r="E312" s="14"/>
      <c r="F312" s="12"/>
      <c r="G312" s="12" t="n">
        <f aca="false">COUNTIF(Spots!$C:$C,$A312)</f>
        <v>0</v>
      </c>
      <c r="H312" s="13" t="str">
        <f aca="false">IFERROR(AVERAGEIFS(Spots!$K:$K,Spots!$C:$C,$A312,Spots!$F:$F,"Posted"),"")</f>
        <v/>
      </c>
      <c r="I312" s="14"/>
    </row>
    <row r="313" customFormat="false" ht="15" hidden="false" customHeight="false" outlineLevel="0" collapsed="false">
      <c r="A313" s="12"/>
      <c r="B313" s="14"/>
      <c r="C313" s="12"/>
      <c r="D313" s="12"/>
      <c r="E313" s="14"/>
      <c r="F313" s="12"/>
      <c r="G313" s="12" t="n">
        <f aca="false">COUNTIF(Spots!$C:$C,$A313)</f>
        <v>0</v>
      </c>
      <c r="H313" s="13" t="str">
        <f aca="false">IFERROR(AVERAGEIFS(Spots!$K:$K,Spots!$C:$C,$A313,Spots!$F:$F,"Posted"),"")</f>
        <v/>
      </c>
      <c r="I313" s="14"/>
    </row>
    <row r="314" customFormat="false" ht="15" hidden="false" customHeight="false" outlineLevel="0" collapsed="false">
      <c r="A314" s="12"/>
      <c r="B314" s="14"/>
      <c r="C314" s="12"/>
      <c r="D314" s="12"/>
      <c r="E314" s="14"/>
      <c r="F314" s="12"/>
      <c r="G314" s="12" t="n">
        <f aca="false">COUNTIF(Spots!$C:$C,$A314)</f>
        <v>0</v>
      </c>
      <c r="H314" s="13" t="str">
        <f aca="false">IFERROR(AVERAGEIFS(Spots!$K:$K,Spots!$C:$C,$A314,Spots!$F:$F,"Posted"),"")</f>
        <v/>
      </c>
      <c r="I314" s="14"/>
    </row>
    <row r="315" customFormat="false" ht="15" hidden="false" customHeight="false" outlineLevel="0" collapsed="false">
      <c r="A315" s="12"/>
      <c r="B315" s="14"/>
      <c r="C315" s="12"/>
      <c r="D315" s="12"/>
      <c r="E315" s="14"/>
      <c r="F315" s="12"/>
      <c r="G315" s="12" t="n">
        <f aca="false">COUNTIF(Spots!$C:$C,$A315)</f>
        <v>0</v>
      </c>
      <c r="H315" s="13" t="str">
        <f aca="false">IFERROR(AVERAGEIFS(Spots!$K:$K,Spots!$C:$C,$A315,Spots!$F:$F,"Posted"),"")</f>
        <v/>
      </c>
      <c r="I315" s="14"/>
    </row>
    <row r="316" customFormat="false" ht="15" hidden="false" customHeight="false" outlineLevel="0" collapsed="false">
      <c r="A316" s="12"/>
      <c r="B316" s="14"/>
      <c r="C316" s="12"/>
      <c r="D316" s="12"/>
      <c r="E316" s="14"/>
      <c r="F316" s="12"/>
      <c r="G316" s="12" t="n">
        <f aca="false">COUNTIF(Spots!$C:$C,$A316)</f>
        <v>0</v>
      </c>
      <c r="H316" s="13" t="str">
        <f aca="false">IFERROR(AVERAGEIFS(Spots!$K:$K,Spots!$C:$C,$A316,Spots!$F:$F,"Posted"),"")</f>
        <v/>
      </c>
      <c r="I316" s="14"/>
    </row>
    <row r="317" customFormat="false" ht="15" hidden="false" customHeight="false" outlineLevel="0" collapsed="false">
      <c r="A317" s="12"/>
      <c r="B317" s="14"/>
      <c r="C317" s="12"/>
      <c r="D317" s="12"/>
      <c r="E317" s="14"/>
      <c r="F317" s="12"/>
      <c r="G317" s="12" t="n">
        <f aca="false">COUNTIF(Spots!$C:$C,$A317)</f>
        <v>0</v>
      </c>
      <c r="H317" s="13" t="str">
        <f aca="false">IFERROR(AVERAGEIFS(Spots!$K:$K,Spots!$C:$C,$A317,Spots!$F:$F,"Posted"),"")</f>
        <v/>
      </c>
      <c r="I317" s="14"/>
    </row>
    <row r="318" customFormat="false" ht="15" hidden="false" customHeight="false" outlineLevel="0" collapsed="false">
      <c r="A318" s="12"/>
      <c r="B318" s="14"/>
      <c r="C318" s="12"/>
      <c r="D318" s="12"/>
      <c r="E318" s="14"/>
      <c r="F318" s="12"/>
      <c r="G318" s="12" t="n">
        <f aca="false">COUNTIF(Spots!$C:$C,$A318)</f>
        <v>0</v>
      </c>
      <c r="H318" s="13" t="str">
        <f aca="false">IFERROR(AVERAGEIFS(Spots!$K:$K,Spots!$C:$C,$A318,Spots!$F:$F,"Posted"),"")</f>
        <v/>
      </c>
      <c r="I318" s="14"/>
    </row>
    <row r="319" customFormat="false" ht="15" hidden="false" customHeight="false" outlineLevel="0" collapsed="false">
      <c r="A319" s="12"/>
      <c r="B319" s="14"/>
      <c r="C319" s="12"/>
      <c r="D319" s="12"/>
      <c r="E319" s="14"/>
      <c r="F319" s="12"/>
      <c r="G319" s="12" t="n">
        <f aca="false">COUNTIF(Spots!$C:$C,$A319)</f>
        <v>0</v>
      </c>
      <c r="H319" s="13" t="str">
        <f aca="false">IFERROR(AVERAGEIFS(Spots!$K:$K,Spots!$C:$C,$A319,Spots!$F:$F,"Posted"),"")</f>
        <v/>
      </c>
      <c r="I319" s="14"/>
    </row>
    <row r="320" customFormat="false" ht="15" hidden="false" customHeight="false" outlineLevel="0" collapsed="false">
      <c r="A320" s="12"/>
      <c r="B320" s="14"/>
      <c r="C320" s="12"/>
      <c r="D320" s="12"/>
      <c r="E320" s="14"/>
      <c r="F320" s="12"/>
      <c r="G320" s="12" t="n">
        <f aca="false">COUNTIF(Spots!$C:$C,$A320)</f>
        <v>0</v>
      </c>
      <c r="H320" s="13" t="str">
        <f aca="false">IFERROR(AVERAGEIFS(Spots!$K:$K,Spots!$C:$C,$A320,Spots!$F:$F,"Posted"),"")</f>
        <v/>
      </c>
      <c r="I320" s="14"/>
    </row>
    <row r="321" customFormat="false" ht="15" hidden="false" customHeight="false" outlineLevel="0" collapsed="false">
      <c r="A321" s="12"/>
      <c r="B321" s="14"/>
      <c r="C321" s="12"/>
      <c r="D321" s="12"/>
      <c r="E321" s="14"/>
      <c r="F321" s="12"/>
      <c r="G321" s="12" t="n">
        <f aca="false">COUNTIF(Spots!$C:$C,$A321)</f>
        <v>0</v>
      </c>
      <c r="H321" s="13" t="str">
        <f aca="false">IFERROR(AVERAGEIFS(Spots!$K:$K,Spots!$C:$C,$A321,Spots!$F:$F,"Posted"),"")</f>
        <v/>
      </c>
      <c r="I321" s="14"/>
    </row>
    <row r="322" customFormat="false" ht="15" hidden="false" customHeight="false" outlineLevel="0" collapsed="false">
      <c r="A322" s="12"/>
      <c r="B322" s="14"/>
      <c r="C322" s="12"/>
      <c r="D322" s="12"/>
      <c r="E322" s="14"/>
      <c r="F322" s="12"/>
      <c r="G322" s="12" t="n">
        <f aca="false">COUNTIF(Spots!$C:$C,$A322)</f>
        <v>0</v>
      </c>
      <c r="H322" s="13" t="str">
        <f aca="false">IFERROR(AVERAGEIFS(Spots!$K:$K,Spots!$C:$C,$A322,Spots!$F:$F,"Posted"),"")</f>
        <v/>
      </c>
      <c r="I322" s="14"/>
    </row>
    <row r="323" customFormat="false" ht="15" hidden="false" customHeight="false" outlineLevel="0" collapsed="false">
      <c r="A323" s="12"/>
      <c r="B323" s="14"/>
      <c r="C323" s="12"/>
      <c r="D323" s="12"/>
      <c r="E323" s="14"/>
      <c r="F323" s="12"/>
      <c r="G323" s="12" t="n">
        <f aca="false">COUNTIF(Spots!$C:$C,$A323)</f>
        <v>0</v>
      </c>
      <c r="H323" s="13" t="str">
        <f aca="false">IFERROR(AVERAGEIFS(Spots!$K:$K,Spots!$C:$C,$A323,Spots!$F:$F,"Posted"),"")</f>
        <v/>
      </c>
      <c r="I323" s="14"/>
    </row>
    <row r="324" customFormat="false" ht="15" hidden="false" customHeight="false" outlineLevel="0" collapsed="false">
      <c r="A324" s="12"/>
      <c r="B324" s="14"/>
      <c r="C324" s="12"/>
      <c r="D324" s="12"/>
      <c r="E324" s="14"/>
      <c r="F324" s="12"/>
      <c r="G324" s="12" t="n">
        <f aca="false">COUNTIF(Spots!$C:$C,$A324)</f>
        <v>0</v>
      </c>
      <c r="H324" s="13" t="str">
        <f aca="false">IFERROR(AVERAGEIFS(Spots!$K:$K,Spots!$C:$C,$A324,Spots!$F:$F,"Posted"),"")</f>
        <v/>
      </c>
      <c r="I324" s="14"/>
    </row>
    <row r="325" customFormat="false" ht="15" hidden="false" customHeight="false" outlineLevel="0" collapsed="false">
      <c r="A325" s="12"/>
      <c r="B325" s="14"/>
      <c r="C325" s="12"/>
      <c r="D325" s="12"/>
      <c r="E325" s="14"/>
      <c r="F325" s="12"/>
      <c r="G325" s="12" t="n">
        <f aca="false">COUNTIF(Spots!$C:$C,$A325)</f>
        <v>0</v>
      </c>
      <c r="H325" s="13" t="str">
        <f aca="false">IFERROR(AVERAGEIFS(Spots!$K:$K,Spots!$C:$C,$A325,Spots!$F:$F,"Posted"),"")</f>
        <v/>
      </c>
      <c r="I325" s="14"/>
    </row>
    <row r="326" customFormat="false" ht="15" hidden="false" customHeight="false" outlineLevel="0" collapsed="false">
      <c r="A326" s="12"/>
      <c r="B326" s="14"/>
      <c r="C326" s="12"/>
      <c r="D326" s="12"/>
      <c r="E326" s="14"/>
      <c r="F326" s="12"/>
      <c r="G326" s="12" t="n">
        <f aca="false">COUNTIF(Spots!$C:$C,$A326)</f>
        <v>0</v>
      </c>
      <c r="H326" s="13" t="str">
        <f aca="false">IFERROR(AVERAGEIFS(Spots!$K:$K,Spots!$C:$C,$A326,Spots!$F:$F,"Posted"),"")</f>
        <v/>
      </c>
      <c r="I326" s="14"/>
    </row>
    <row r="327" customFormat="false" ht="15" hidden="false" customHeight="false" outlineLevel="0" collapsed="false">
      <c r="A327" s="12"/>
      <c r="B327" s="14"/>
      <c r="C327" s="12"/>
      <c r="D327" s="12"/>
      <c r="E327" s="14"/>
      <c r="F327" s="12"/>
      <c r="G327" s="12" t="n">
        <f aca="false">COUNTIF(Spots!$C:$C,$A327)</f>
        <v>0</v>
      </c>
      <c r="H327" s="13" t="str">
        <f aca="false">IFERROR(AVERAGEIFS(Spots!$K:$K,Spots!$C:$C,$A327,Spots!$F:$F,"Posted"),"")</f>
        <v/>
      </c>
      <c r="I327" s="14"/>
    </row>
    <row r="328" customFormat="false" ht="15" hidden="false" customHeight="false" outlineLevel="0" collapsed="false">
      <c r="A328" s="12"/>
      <c r="B328" s="14"/>
      <c r="C328" s="12"/>
      <c r="D328" s="12"/>
      <c r="E328" s="14"/>
      <c r="F328" s="12"/>
      <c r="G328" s="12" t="n">
        <f aca="false">COUNTIF(Spots!$C:$C,$A328)</f>
        <v>0</v>
      </c>
      <c r="H328" s="13" t="str">
        <f aca="false">IFERROR(AVERAGEIFS(Spots!$K:$K,Spots!$C:$C,$A328,Spots!$F:$F,"Posted"),"")</f>
        <v/>
      </c>
      <c r="I328" s="14"/>
    </row>
    <row r="329" customFormat="false" ht="15" hidden="false" customHeight="false" outlineLevel="0" collapsed="false">
      <c r="A329" s="12"/>
      <c r="B329" s="14"/>
      <c r="C329" s="12"/>
      <c r="D329" s="12"/>
      <c r="E329" s="14"/>
      <c r="F329" s="12"/>
      <c r="G329" s="12" t="n">
        <f aca="false">COUNTIF(Spots!$C:$C,$A329)</f>
        <v>0</v>
      </c>
      <c r="H329" s="13" t="str">
        <f aca="false">IFERROR(AVERAGEIFS(Spots!$K:$K,Spots!$C:$C,$A329,Spots!$F:$F,"Posted"),"")</f>
        <v/>
      </c>
      <c r="I329" s="14"/>
    </row>
    <row r="330" customFormat="false" ht="15" hidden="false" customHeight="false" outlineLevel="0" collapsed="false">
      <c r="A330" s="12"/>
      <c r="B330" s="14"/>
      <c r="C330" s="12"/>
      <c r="D330" s="12"/>
      <c r="E330" s="14"/>
      <c r="F330" s="12"/>
      <c r="G330" s="12" t="n">
        <f aca="false">COUNTIF(Spots!$C:$C,$A330)</f>
        <v>0</v>
      </c>
      <c r="H330" s="13" t="str">
        <f aca="false">IFERROR(AVERAGEIFS(Spots!$K:$K,Spots!$C:$C,$A330,Spots!$F:$F,"Posted"),"")</f>
        <v/>
      </c>
      <c r="I330" s="14"/>
    </row>
    <row r="331" customFormat="false" ht="15" hidden="false" customHeight="false" outlineLevel="0" collapsed="false">
      <c r="A331" s="12"/>
      <c r="B331" s="14"/>
      <c r="C331" s="12"/>
      <c r="D331" s="12"/>
      <c r="E331" s="14"/>
      <c r="F331" s="12"/>
      <c r="G331" s="12" t="n">
        <f aca="false">COUNTIF(Spots!$C:$C,$A331)</f>
        <v>0</v>
      </c>
      <c r="H331" s="13" t="str">
        <f aca="false">IFERROR(AVERAGEIFS(Spots!$K:$K,Spots!$C:$C,$A331,Spots!$F:$F,"Posted"),"")</f>
        <v/>
      </c>
      <c r="I331" s="14"/>
    </row>
    <row r="332" customFormat="false" ht="15" hidden="false" customHeight="false" outlineLevel="0" collapsed="false">
      <c r="A332" s="12"/>
      <c r="B332" s="14"/>
      <c r="C332" s="12"/>
      <c r="D332" s="12"/>
      <c r="E332" s="14"/>
      <c r="F332" s="12"/>
      <c r="G332" s="12" t="n">
        <f aca="false">COUNTIF(Spots!$C:$C,$A332)</f>
        <v>0</v>
      </c>
      <c r="H332" s="13" t="str">
        <f aca="false">IFERROR(AVERAGEIFS(Spots!$K:$K,Spots!$C:$C,$A332,Spots!$F:$F,"Posted"),"")</f>
        <v/>
      </c>
      <c r="I332" s="14"/>
    </row>
    <row r="333" customFormat="false" ht="15" hidden="false" customHeight="false" outlineLevel="0" collapsed="false">
      <c r="A333" s="12"/>
      <c r="B333" s="14"/>
      <c r="C333" s="12"/>
      <c r="D333" s="12"/>
      <c r="E333" s="14"/>
      <c r="F333" s="12"/>
      <c r="G333" s="12" t="n">
        <f aca="false">COUNTIF(Spots!$C:$C,$A333)</f>
        <v>0</v>
      </c>
      <c r="H333" s="13" t="str">
        <f aca="false">IFERROR(AVERAGEIFS(Spots!$K:$K,Spots!$C:$C,$A333,Spots!$F:$F,"Posted"),"")</f>
        <v/>
      </c>
      <c r="I333" s="14"/>
    </row>
    <row r="334" customFormat="false" ht="15" hidden="false" customHeight="false" outlineLevel="0" collapsed="false">
      <c r="A334" s="12"/>
      <c r="B334" s="14"/>
      <c r="C334" s="12"/>
      <c r="D334" s="12"/>
      <c r="E334" s="14"/>
      <c r="F334" s="12"/>
      <c r="G334" s="12" t="n">
        <f aca="false">COUNTIF(Spots!$C:$C,$A334)</f>
        <v>0</v>
      </c>
      <c r="H334" s="13" t="str">
        <f aca="false">IFERROR(AVERAGEIFS(Spots!$K:$K,Spots!$C:$C,$A334,Spots!$F:$F,"Posted"),"")</f>
        <v/>
      </c>
      <c r="I334" s="14"/>
    </row>
    <row r="335" customFormat="false" ht="15" hidden="false" customHeight="false" outlineLevel="0" collapsed="false">
      <c r="A335" s="12"/>
      <c r="B335" s="14"/>
      <c r="C335" s="12"/>
      <c r="D335" s="12"/>
      <c r="E335" s="14"/>
      <c r="F335" s="12"/>
      <c r="G335" s="12" t="n">
        <f aca="false">COUNTIF(Spots!$C:$C,$A335)</f>
        <v>0</v>
      </c>
      <c r="H335" s="13" t="str">
        <f aca="false">IFERROR(AVERAGEIFS(Spots!$K:$K,Spots!$C:$C,$A335,Spots!$F:$F,"Posted"),"")</f>
        <v/>
      </c>
      <c r="I335" s="14"/>
    </row>
    <row r="336" customFormat="false" ht="15" hidden="false" customHeight="false" outlineLevel="0" collapsed="false">
      <c r="A336" s="12"/>
      <c r="B336" s="14"/>
      <c r="C336" s="12"/>
      <c r="D336" s="12"/>
      <c r="E336" s="14"/>
      <c r="F336" s="12"/>
      <c r="G336" s="12" t="n">
        <f aca="false">COUNTIF(Spots!$C:$C,$A336)</f>
        <v>0</v>
      </c>
      <c r="H336" s="13" t="str">
        <f aca="false">IFERROR(AVERAGEIFS(Spots!$K:$K,Spots!$C:$C,$A336,Spots!$F:$F,"Posted"),"")</f>
        <v/>
      </c>
      <c r="I336" s="14"/>
    </row>
    <row r="337" customFormat="false" ht="15" hidden="false" customHeight="false" outlineLevel="0" collapsed="false">
      <c r="A337" s="12"/>
      <c r="B337" s="14"/>
      <c r="C337" s="12"/>
      <c r="D337" s="12"/>
      <c r="E337" s="14"/>
      <c r="F337" s="12"/>
      <c r="G337" s="12" t="n">
        <f aca="false">COUNTIF(Spots!$C:$C,$A337)</f>
        <v>0</v>
      </c>
      <c r="H337" s="13" t="str">
        <f aca="false">IFERROR(AVERAGEIFS(Spots!$K:$K,Spots!$C:$C,$A337,Spots!$F:$F,"Posted"),"")</f>
        <v/>
      </c>
      <c r="I337" s="14"/>
    </row>
    <row r="338" customFormat="false" ht="15" hidden="false" customHeight="false" outlineLevel="0" collapsed="false">
      <c r="A338" s="12"/>
      <c r="B338" s="14"/>
      <c r="C338" s="12"/>
      <c r="D338" s="12"/>
      <c r="E338" s="14"/>
      <c r="F338" s="12"/>
      <c r="G338" s="12" t="n">
        <f aca="false">COUNTIF(Spots!$C:$C,$A338)</f>
        <v>0</v>
      </c>
      <c r="H338" s="13" t="str">
        <f aca="false">IFERROR(AVERAGEIFS(Spots!$K:$K,Spots!$C:$C,$A338,Spots!$F:$F,"Posted"),"")</f>
        <v/>
      </c>
      <c r="I338" s="14"/>
    </row>
    <row r="339" customFormat="false" ht="15" hidden="false" customHeight="false" outlineLevel="0" collapsed="false">
      <c r="A339" s="12"/>
      <c r="B339" s="14"/>
      <c r="C339" s="12"/>
      <c r="D339" s="12"/>
      <c r="E339" s="14"/>
      <c r="F339" s="12"/>
      <c r="G339" s="12" t="n">
        <f aca="false">COUNTIF(Spots!$C:$C,$A339)</f>
        <v>0</v>
      </c>
      <c r="H339" s="13" t="str">
        <f aca="false">IFERROR(AVERAGEIFS(Spots!$K:$K,Spots!$C:$C,$A339,Spots!$F:$F,"Posted"),"")</f>
        <v/>
      </c>
      <c r="I339" s="14"/>
    </row>
    <row r="340" customFormat="false" ht="15" hidden="false" customHeight="false" outlineLevel="0" collapsed="false">
      <c r="A340" s="12"/>
      <c r="B340" s="14"/>
      <c r="C340" s="12"/>
      <c r="D340" s="12"/>
      <c r="E340" s="14"/>
      <c r="F340" s="12"/>
      <c r="G340" s="12" t="n">
        <f aca="false">COUNTIF(Spots!$C:$C,$A340)</f>
        <v>0</v>
      </c>
      <c r="H340" s="13" t="str">
        <f aca="false">IFERROR(AVERAGEIFS(Spots!$K:$K,Spots!$C:$C,$A340,Spots!$F:$F,"Posted"),"")</f>
        <v/>
      </c>
      <c r="I340" s="14"/>
    </row>
    <row r="341" customFormat="false" ht="15" hidden="false" customHeight="false" outlineLevel="0" collapsed="false">
      <c r="A341" s="12"/>
      <c r="B341" s="14"/>
      <c r="C341" s="12"/>
      <c r="D341" s="12"/>
      <c r="E341" s="14"/>
      <c r="F341" s="12"/>
      <c r="G341" s="12" t="n">
        <f aca="false">COUNTIF(Spots!$C:$C,$A341)</f>
        <v>0</v>
      </c>
      <c r="H341" s="13" t="str">
        <f aca="false">IFERROR(AVERAGEIFS(Spots!$K:$K,Spots!$C:$C,$A341,Spots!$F:$F,"Posted"),"")</f>
        <v/>
      </c>
      <c r="I341" s="14"/>
    </row>
    <row r="342" customFormat="false" ht="15" hidden="false" customHeight="false" outlineLevel="0" collapsed="false">
      <c r="A342" s="12"/>
      <c r="B342" s="14"/>
      <c r="C342" s="12"/>
      <c r="D342" s="12"/>
      <c r="E342" s="14"/>
      <c r="F342" s="12"/>
      <c r="G342" s="12" t="n">
        <f aca="false">COUNTIF(Spots!$C:$C,$A342)</f>
        <v>0</v>
      </c>
      <c r="H342" s="13" t="str">
        <f aca="false">IFERROR(AVERAGEIFS(Spots!$K:$K,Spots!$C:$C,$A342,Spots!$F:$F,"Posted"),"")</f>
        <v/>
      </c>
      <c r="I342" s="14"/>
    </row>
    <row r="343" customFormat="false" ht="15" hidden="false" customHeight="false" outlineLevel="0" collapsed="false">
      <c r="A343" s="12"/>
      <c r="B343" s="14"/>
      <c r="C343" s="12"/>
      <c r="D343" s="12"/>
      <c r="E343" s="14"/>
      <c r="F343" s="12"/>
      <c r="G343" s="12" t="n">
        <f aca="false">COUNTIF(Spots!$C:$C,$A343)</f>
        <v>0</v>
      </c>
      <c r="H343" s="13" t="str">
        <f aca="false">IFERROR(AVERAGEIFS(Spots!$K:$K,Spots!$C:$C,$A343,Spots!$F:$F,"Posted"),"")</f>
        <v/>
      </c>
      <c r="I343" s="14"/>
    </row>
    <row r="344" customFormat="false" ht="15" hidden="false" customHeight="false" outlineLevel="0" collapsed="false">
      <c r="A344" s="12"/>
      <c r="B344" s="14"/>
      <c r="C344" s="12"/>
      <c r="D344" s="12"/>
      <c r="E344" s="14"/>
      <c r="F344" s="12"/>
      <c r="G344" s="12" t="n">
        <f aca="false">COUNTIF(Spots!$C:$C,$A344)</f>
        <v>0</v>
      </c>
      <c r="H344" s="13" t="str">
        <f aca="false">IFERROR(AVERAGEIFS(Spots!$K:$K,Spots!$C:$C,$A344,Spots!$F:$F,"Posted"),"")</f>
        <v/>
      </c>
      <c r="I344" s="14"/>
    </row>
    <row r="345" customFormat="false" ht="15" hidden="false" customHeight="false" outlineLevel="0" collapsed="false">
      <c r="A345" s="12"/>
      <c r="B345" s="14"/>
      <c r="C345" s="12"/>
      <c r="D345" s="12"/>
      <c r="E345" s="14"/>
      <c r="F345" s="12"/>
      <c r="G345" s="12" t="n">
        <f aca="false">COUNTIF(Spots!$C:$C,$A345)</f>
        <v>0</v>
      </c>
      <c r="H345" s="13" t="str">
        <f aca="false">IFERROR(AVERAGEIFS(Spots!$K:$K,Spots!$C:$C,$A345,Spots!$F:$F,"Posted"),"")</f>
        <v/>
      </c>
      <c r="I345" s="14"/>
    </row>
    <row r="346" customFormat="false" ht="15" hidden="false" customHeight="false" outlineLevel="0" collapsed="false">
      <c r="A346" s="12"/>
      <c r="B346" s="14"/>
      <c r="C346" s="12"/>
      <c r="D346" s="12"/>
      <c r="E346" s="14"/>
      <c r="F346" s="12"/>
      <c r="G346" s="12" t="n">
        <f aca="false">COUNTIF(Spots!$C:$C,$A346)</f>
        <v>0</v>
      </c>
      <c r="H346" s="13" t="str">
        <f aca="false">IFERROR(AVERAGEIFS(Spots!$K:$K,Spots!$C:$C,$A346,Spots!$F:$F,"Posted"),"")</f>
        <v/>
      </c>
      <c r="I346" s="14"/>
    </row>
    <row r="347" customFormat="false" ht="15" hidden="false" customHeight="false" outlineLevel="0" collapsed="false">
      <c r="A347" s="12"/>
      <c r="B347" s="14"/>
      <c r="C347" s="12"/>
      <c r="D347" s="12"/>
      <c r="E347" s="14"/>
      <c r="F347" s="12"/>
      <c r="G347" s="12" t="n">
        <f aca="false">COUNTIF(Spots!$C:$C,$A347)</f>
        <v>0</v>
      </c>
      <c r="H347" s="13" t="str">
        <f aca="false">IFERROR(AVERAGEIFS(Spots!$K:$K,Spots!$C:$C,$A347,Spots!$F:$F,"Posted"),"")</f>
        <v/>
      </c>
      <c r="I347" s="14"/>
    </row>
    <row r="348" customFormat="false" ht="15" hidden="false" customHeight="false" outlineLevel="0" collapsed="false">
      <c r="A348" s="12"/>
      <c r="B348" s="14"/>
      <c r="C348" s="12"/>
      <c r="D348" s="12"/>
      <c r="E348" s="14"/>
      <c r="F348" s="12"/>
      <c r="G348" s="12" t="n">
        <f aca="false">COUNTIF(Spots!$C:$C,$A348)</f>
        <v>0</v>
      </c>
      <c r="H348" s="13" t="str">
        <f aca="false">IFERROR(AVERAGEIFS(Spots!$K:$K,Spots!$C:$C,$A348,Spots!$F:$F,"Posted"),"")</f>
        <v/>
      </c>
      <c r="I348" s="14"/>
    </row>
    <row r="349" customFormat="false" ht="15" hidden="false" customHeight="false" outlineLevel="0" collapsed="false">
      <c r="A349" s="12"/>
      <c r="B349" s="14"/>
      <c r="C349" s="12"/>
      <c r="D349" s="12"/>
      <c r="E349" s="14"/>
      <c r="F349" s="12"/>
      <c r="G349" s="12" t="n">
        <f aca="false">COUNTIF(Spots!$C:$C,$A349)</f>
        <v>0</v>
      </c>
      <c r="H349" s="13" t="str">
        <f aca="false">IFERROR(AVERAGEIFS(Spots!$K:$K,Spots!$C:$C,$A349,Spots!$F:$F,"Posted"),"")</f>
        <v/>
      </c>
      <c r="I349" s="14"/>
    </row>
    <row r="350" customFormat="false" ht="15" hidden="false" customHeight="false" outlineLevel="0" collapsed="false">
      <c r="A350" s="12"/>
      <c r="B350" s="14"/>
      <c r="C350" s="12"/>
      <c r="D350" s="12"/>
      <c r="E350" s="14"/>
      <c r="F350" s="12"/>
      <c r="G350" s="12" t="n">
        <f aca="false">COUNTIF(Spots!$C:$C,$A350)</f>
        <v>0</v>
      </c>
      <c r="H350" s="13" t="str">
        <f aca="false">IFERROR(AVERAGEIFS(Spots!$K:$K,Spots!$C:$C,$A350,Spots!$F:$F,"Posted"),"")</f>
        <v/>
      </c>
      <c r="I350" s="14"/>
    </row>
    <row r="351" customFormat="false" ht="15" hidden="false" customHeight="false" outlineLevel="0" collapsed="false">
      <c r="A351" s="12"/>
      <c r="B351" s="14"/>
      <c r="C351" s="12"/>
      <c r="D351" s="12"/>
      <c r="E351" s="14"/>
      <c r="F351" s="12"/>
      <c r="G351" s="12" t="n">
        <f aca="false">COUNTIF(Spots!$C:$C,$A351)</f>
        <v>0</v>
      </c>
      <c r="H351" s="13" t="str">
        <f aca="false">IFERROR(AVERAGEIFS(Spots!$K:$K,Spots!$C:$C,$A351,Spots!$F:$F,"Posted"),"")</f>
        <v/>
      </c>
      <c r="I351" s="14"/>
    </row>
    <row r="352" customFormat="false" ht="15" hidden="false" customHeight="false" outlineLevel="0" collapsed="false">
      <c r="A352" s="12"/>
      <c r="B352" s="14"/>
      <c r="C352" s="12"/>
      <c r="D352" s="12"/>
      <c r="E352" s="14"/>
      <c r="F352" s="12"/>
      <c r="G352" s="12" t="n">
        <f aca="false">COUNTIF(Spots!$C:$C,$A352)</f>
        <v>0</v>
      </c>
      <c r="H352" s="13" t="str">
        <f aca="false">IFERROR(AVERAGEIFS(Spots!$K:$K,Spots!$C:$C,$A352,Spots!$F:$F,"Posted"),"")</f>
        <v/>
      </c>
      <c r="I352" s="14"/>
    </row>
    <row r="353" customFormat="false" ht="15" hidden="false" customHeight="false" outlineLevel="0" collapsed="false">
      <c r="A353" s="12"/>
      <c r="B353" s="14"/>
      <c r="C353" s="12"/>
      <c r="D353" s="12"/>
      <c r="E353" s="14"/>
      <c r="F353" s="12"/>
      <c r="G353" s="12" t="n">
        <f aca="false">COUNTIF(Spots!$C:$C,$A353)</f>
        <v>0</v>
      </c>
      <c r="H353" s="13" t="str">
        <f aca="false">IFERROR(AVERAGEIFS(Spots!$K:$K,Spots!$C:$C,$A353,Spots!$F:$F,"Posted"),"")</f>
        <v/>
      </c>
      <c r="I353" s="14"/>
    </row>
    <row r="354" customFormat="false" ht="15" hidden="false" customHeight="false" outlineLevel="0" collapsed="false">
      <c r="A354" s="12"/>
      <c r="B354" s="14"/>
      <c r="C354" s="12"/>
      <c r="D354" s="12"/>
      <c r="E354" s="14"/>
      <c r="F354" s="12"/>
      <c r="G354" s="12" t="n">
        <f aca="false">COUNTIF(Spots!$C:$C,$A354)</f>
        <v>0</v>
      </c>
      <c r="H354" s="13" t="str">
        <f aca="false">IFERROR(AVERAGEIFS(Spots!$K:$K,Spots!$C:$C,$A354,Spots!$F:$F,"Posted"),"")</f>
        <v/>
      </c>
      <c r="I354" s="14"/>
    </row>
    <row r="355" customFormat="false" ht="15" hidden="false" customHeight="false" outlineLevel="0" collapsed="false">
      <c r="A355" s="12"/>
      <c r="B355" s="14"/>
      <c r="C355" s="12"/>
      <c r="D355" s="12"/>
      <c r="E355" s="14"/>
      <c r="F355" s="12"/>
      <c r="G355" s="12" t="n">
        <f aca="false">COUNTIF(Spots!$C:$C,$A355)</f>
        <v>0</v>
      </c>
      <c r="H355" s="13" t="str">
        <f aca="false">IFERROR(AVERAGEIFS(Spots!$K:$K,Spots!$C:$C,$A355,Spots!$F:$F,"Posted"),"")</f>
        <v/>
      </c>
      <c r="I355" s="14"/>
    </row>
    <row r="356" customFormat="false" ht="15" hidden="false" customHeight="false" outlineLevel="0" collapsed="false">
      <c r="A356" s="12"/>
      <c r="B356" s="14"/>
      <c r="C356" s="12"/>
      <c r="D356" s="12"/>
      <c r="E356" s="14"/>
      <c r="F356" s="12"/>
      <c r="G356" s="12" t="n">
        <f aca="false">COUNTIF(Spots!$C:$C,$A356)</f>
        <v>0</v>
      </c>
      <c r="H356" s="13" t="str">
        <f aca="false">IFERROR(AVERAGEIFS(Spots!$K:$K,Spots!$C:$C,$A356,Spots!$F:$F,"Posted"),"")</f>
        <v/>
      </c>
      <c r="I356" s="14"/>
    </row>
    <row r="357" customFormat="false" ht="15" hidden="false" customHeight="false" outlineLevel="0" collapsed="false">
      <c r="A357" s="12"/>
      <c r="B357" s="14"/>
      <c r="C357" s="12"/>
      <c r="D357" s="12"/>
      <c r="E357" s="14"/>
      <c r="F357" s="12"/>
      <c r="G357" s="12" t="n">
        <f aca="false">COUNTIF(Spots!$C:$C,$A357)</f>
        <v>0</v>
      </c>
      <c r="H357" s="13" t="str">
        <f aca="false">IFERROR(AVERAGEIFS(Spots!$K:$K,Spots!$C:$C,$A357,Spots!$F:$F,"Posted"),"")</f>
        <v/>
      </c>
      <c r="I357" s="14"/>
    </row>
    <row r="358" customFormat="false" ht="15" hidden="false" customHeight="false" outlineLevel="0" collapsed="false">
      <c r="A358" s="12"/>
      <c r="B358" s="14"/>
      <c r="C358" s="12"/>
      <c r="D358" s="12"/>
      <c r="E358" s="14"/>
      <c r="F358" s="12"/>
      <c r="G358" s="12" t="n">
        <f aca="false">COUNTIF(Spots!$C:$C,$A358)</f>
        <v>0</v>
      </c>
      <c r="H358" s="13" t="str">
        <f aca="false">IFERROR(AVERAGEIFS(Spots!$K:$K,Spots!$C:$C,$A358,Spots!$F:$F,"Posted"),"")</f>
        <v/>
      </c>
      <c r="I358" s="14"/>
    </row>
    <row r="359" customFormat="false" ht="15" hidden="false" customHeight="false" outlineLevel="0" collapsed="false">
      <c r="A359" s="12"/>
      <c r="B359" s="14"/>
      <c r="C359" s="12"/>
      <c r="D359" s="12"/>
      <c r="E359" s="14"/>
      <c r="F359" s="12"/>
      <c r="G359" s="12" t="n">
        <f aca="false">COUNTIF(Spots!$C:$C,$A359)</f>
        <v>0</v>
      </c>
      <c r="H359" s="13" t="str">
        <f aca="false">IFERROR(AVERAGEIFS(Spots!$K:$K,Spots!$C:$C,$A359,Spots!$F:$F,"Posted"),"")</f>
        <v/>
      </c>
      <c r="I359" s="14"/>
    </row>
    <row r="360" customFormat="false" ht="15" hidden="false" customHeight="false" outlineLevel="0" collapsed="false">
      <c r="A360" s="12"/>
      <c r="B360" s="14"/>
      <c r="C360" s="12"/>
      <c r="D360" s="12"/>
      <c r="E360" s="14"/>
      <c r="F360" s="12"/>
      <c r="G360" s="12" t="n">
        <f aca="false">COUNTIF(Spots!$C:$C,$A360)</f>
        <v>0</v>
      </c>
      <c r="H360" s="13" t="str">
        <f aca="false">IFERROR(AVERAGEIFS(Spots!$K:$K,Spots!$C:$C,$A360,Spots!$F:$F,"Posted"),"")</f>
        <v/>
      </c>
      <c r="I360" s="14"/>
    </row>
    <row r="361" customFormat="false" ht="15" hidden="false" customHeight="false" outlineLevel="0" collapsed="false">
      <c r="A361" s="12"/>
      <c r="B361" s="14"/>
      <c r="C361" s="12"/>
      <c r="D361" s="12"/>
      <c r="E361" s="14"/>
      <c r="F361" s="12"/>
      <c r="G361" s="12" t="n">
        <f aca="false">COUNTIF(Spots!$C:$C,$A361)</f>
        <v>0</v>
      </c>
      <c r="H361" s="13" t="str">
        <f aca="false">IFERROR(AVERAGEIFS(Spots!$K:$K,Spots!$C:$C,$A361,Spots!$F:$F,"Posted"),"")</f>
        <v/>
      </c>
      <c r="I361" s="14"/>
    </row>
    <row r="362" customFormat="false" ht="15" hidden="false" customHeight="false" outlineLevel="0" collapsed="false">
      <c r="A362" s="12"/>
      <c r="B362" s="14"/>
      <c r="C362" s="12"/>
      <c r="D362" s="12"/>
      <c r="E362" s="14"/>
      <c r="F362" s="12"/>
      <c r="G362" s="12" t="n">
        <f aca="false">COUNTIF(Spots!$C:$C,$A362)</f>
        <v>0</v>
      </c>
      <c r="H362" s="13" t="str">
        <f aca="false">IFERROR(AVERAGEIFS(Spots!$K:$K,Spots!$C:$C,$A362,Spots!$F:$F,"Posted"),"")</f>
        <v/>
      </c>
      <c r="I362" s="14"/>
    </row>
    <row r="363" customFormat="false" ht="15" hidden="false" customHeight="false" outlineLevel="0" collapsed="false">
      <c r="A363" s="12"/>
      <c r="B363" s="14"/>
      <c r="C363" s="12"/>
      <c r="D363" s="12"/>
      <c r="E363" s="14"/>
      <c r="F363" s="12"/>
      <c r="G363" s="12" t="n">
        <f aca="false">COUNTIF(Spots!$C:$C,$A363)</f>
        <v>0</v>
      </c>
      <c r="H363" s="13" t="str">
        <f aca="false">IFERROR(AVERAGEIFS(Spots!$K:$K,Spots!$C:$C,$A363,Spots!$F:$F,"Posted"),"")</f>
        <v/>
      </c>
      <c r="I363" s="14"/>
    </row>
    <row r="364" customFormat="false" ht="15" hidden="false" customHeight="false" outlineLevel="0" collapsed="false">
      <c r="A364" s="12"/>
      <c r="B364" s="14"/>
      <c r="C364" s="12"/>
      <c r="D364" s="12"/>
      <c r="E364" s="14"/>
      <c r="F364" s="12"/>
      <c r="G364" s="12" t="n">
        <f aca="false">COUNTIF(Spots!$C:$C,$A364)</f>
        <v>0</v>
      </c>
      <c r="H364" s="13" t="str">
        <f aca="false">IFERROR(AVERAGEIFS(Spots!$K:$K,Spots!$C:$C,$A364,Spots!$F:$F,"Posted"),"")</f>
        <v/>
      </c>
      <c r="I364" s="14"/>
    </row>
    <row r="365" customFormat="false" ht="15" hidden="false" customHeight="false" outlineLevel="0" collapsed="false">
      <c r="A365" s="12"/>
      <c r="B365" s="14"/>
      <c r="C365" s="12"/>
      <c r="D365" s="12"/>
      <c r="E365" s="14"/>
      <c r="F365" s="12"/>
      <c r="G365" s="12" t="n">
        <f aca="false">COUNTIF(Spots!$C:$C,$A365)</f>
        <v>0</v>
      </c>
      <c r="H365" s="13" t="str">
        <f aca="false">IFERROR(AVERAGEIFS(Spots!$K:$K,Spots!$C:$C,$A365,Spots!$F:$F,"Posted"),"")</f>
        <v/>
      </c>
      <c r="I365" s="14"/>
    </row>
    <row r="366" customFormat="false" ht="15" hidden="false" customHeight="false" outlineLevel="0" collapsed="false">
      <c r="A366" s="12"/>
      <c r="B366" s="14"/>
      <c r="C366" s="12"/>
      <c r="D366" s="12"/>
      <c r="E366" s="14"/>
      <c r="F366" s="12"/>
      <c r="G366" s="12" t="n">
        <f aca="false">COUNTIF(Spots!$C:$C,$A366)</f>
        <v>0</v>
      </c>
      <c r="H366" s="13" t="str">
        <f aca="false">IFERROR(AVERAGEIFS(Spots!$K:$K,Spots!$C:$C,$A366,Spots!$F:$F,"Posted"),"")</f>
        <v/>
      </c>
      <c r="I366" s="14"/>
    </row>
    <row r="367" customFormat="false" ht="15" hidden="false" customHeight="false" outlineLevel="0" collapsed="false">
      <c r="A367" s="12"/>
      <c r="B367" s="14"/>
      <c r="C367" s="12"/>
      <c r="D367" s="12"/>
      <c r="E367" s="14"/>
      <c r="F367" s="12"/>
      <c r="G367" s="12" t="n">
        <f aca="false">COUNTIF(Spots!$C:$C,$A367)</f>
        <v>0</v>
      </c>
      <c r="H367" s="13" t="str">
        <f aca="false">IFERROR(AVERAGEIFS(Spots!$K:$K,Spots!$C:$C,$A367,Spots!$F:$F,"Posted"),"")</f>
        <v/>
      </c>
      <c r="I367" s="14"/>
    </row>
    <row r="368" customFormat="false" ht="15" hidden="false" customHeight="false" outlineLevel="0" collapsed="false">
      <c r="A368" s="12"/>
      <c r="B368" s="14"/>
      <c r="C368" s="12"/>
      <c r="D368" s="12"/>
      <c r="E368" s="14"/>
      <c r="F368" s="12"/>
      <c r="G368" s="12" t="n">
        <f aca="false">COUNTIF(Spots!$C:$C,$A368)</f>
        <v>0</v>
      </c>
      <c r="H368" s="13" t="str">
        <f aca="false">IFERROR(AVERAGEIFS(Spots!$K:$K,Spots!$C:$C,$A368,Spots!$F:$F,"Posted"),"")</f>
        <v/>
      </c>
      <c r="I368" s="14"/>
    </row>
    <row r="369" customFormat="false" ht="15" hidden="false" customHeight="false" outlineLevel="0" collapsed="false">
      <c r="A369" s="12"/>
      <c r="B369" s="14"/>
      <c r="C369" s="12"/>
      <c r="D369" s="12"/>
      <c r="E369" s="14"/>
      <c r="F369" s="12"/>
      <c r="G369" s="12" t="n">
        <f aca="false">COUNTIF(Spots!$C:$C,$A369)</f>
        <v>0</v>
      </c>
      <c r="H369" s="13" t="str">
        <f aca="false">IFERROR(AVERAGEIFS(Spots!$K:$K,Spots!$C:$C,$A369,Spots!$F:$F,"Posted"),"")</f>
        <v/>
      </c>
      <c r="I369" s="14"/>
    </row>
    <row r="370" customFormat="false" ht="15" hidden="false" customHeight="false" outlineLevel="0" collapsed="false">
      <c r="A370" s="12"/>
      <c r="B370" s="14"/>
      <c r="C370" s="12"/>
      <c r="D370" s="12"/>
      <c r="E370" s="14"/>
      <c r="F370" s="12"/>
      <c r="G370" s="12" t="n">
        <f aca="false">COUNTIF(Spots!$C:$C,$A370)</f>
        <v>0</v>
      </c>
      <c r="H370" s="13" t="str">
        <f aca="false">IFERROR(AVERAGEIFS(Spots!$K:$K,Spots!$C:$C,$A370,Spots!$F:$F,"Posted"),"")</f>
        <v/>
      </c>
      <c r="I370" s="14"/>
    </row>
    <row r="371" customFormat="false" ht="15" hidden="false" customHeight="false" outlineLevel="0" collapsed="false">
      <c r="A371" s="12"/>
      <c r="B371" s="14"/>
      <c r="C371" s="12"/>
      <c r="D371" s="12"/>
      <c r="E371" s="14"/>
      <c r="F371" s="12"/>
      <c r="G371" s="12" t="n">
        <f aca="false">COUNTIF(Spots!$C:$C,$A371)</f>
        <v>0</v>
      </c>
      <c r="H371" s="13" t="str">
        <f aca="false">IFERROR(AVERAGEIFS(Spots!$K:$K,Spots!$C:$C,$A371,Spots!$F:$F,"Posted"),"")</f>
        <v/>
      </c>
      <c r="I371" s="14"/>
    </row>
    <row r="372" customFormat="false" ht="15" hidden="false" customHeight="false" outlineLevel="0" collapsed="false">
      <c r="A372" s="12"/>
      <c r="B372" s="14"/>
      <c r="C372" s="12"/>
      <c r="D372" s="12"/>
      <c r="E372" s="14"/>
      <c r="F372" s="12"/>
      <c r="G372" s="12" t="n">
        <f aca="false">COUNTIF(Spots!$C:$C,$A372)</f>
        <v>0</v>
      </c>
      <c r="H372" s="13" t="str">
        <f aca="false">IFERROR(AVERAGEIFS(Spots!$K:$K,Spots!$C:$C,$A372,Spots!$F:$F,"Posted"),"")</f>
        <v/>
      </c>
      <c r="I372" s="14"/>
    </row>
    <row r="373" customFormat="false" ht="15" hidden="false" customHeight="false" outlineLevel="0" collapsed="false">
      <c r="A373" s="12"/>
      <c r="B373" s="14"/>
      <c r="C373" s="12"/>
      <c r="D373" s="12"/>
      <c r="E373" s="14"/>
      <c r="F373" s="12"/>
      <c r="G373" s="12" t="n">
        <f aca="false">COUNTIF(Spots!$C:$C,$A373)</f>
        <v>0</v>
      </c>
      <c r="H373" s="13" t="str">
        <f aca="false">IFERROR(AVERAGEIFS(Spots!$K:$K,Spots!$C:$C,$A373,Spots!$F:$F,"Posted"),"")</f>
        <v/>
      </c>
      <c r="I373" s="14"/>
    </row>
    <row r="374" customFormat="false" ht="15" hidden="false" customHeight="false" outlineLevel="0" collapsed="false">
      <c r="A374" s="12"/>
      <c r="B374" s="14"/>
      <c r="C374" s="12"/>
      <c r="D374" s="12"/>
      <c r="E374" s="14"/>
      <c r="F374" s="12"/>
      <c r="G374" s="12" t="n">
        <f aca="false">COUNTIF(Spots!$C:$C,$A374)</f>
        <v>0</v>
      </c>
      <c r="H374" s="13" t="str">
        <f aca="false">IFERROR(AVERAGEIFS(Spots!$K:$K,Spots!$C:$C,$A374,Spots!$F:$F,"Posted"),"")</f>
        <v/>
      </c>
      <c r="I374" s="14"/>
    </row>
    <row r="375" customFormat="false" ht="15" hidden="false" customHeight="false" outlineLevel="0" collapsed="false">
      <c r="A375" s="12"/>
      <c r="B375" s="14"/>
      <c r="C375" s="12"/>
      <c r="D375" s="12"/>
      <c r="E375" s="14"/>
      <c r="F375" s="12"/>
      <c r="G375" s="12" t="n">
        <f aca="false">COUNTIF(Spots!$C:$C,$A375)</f>
        <v>0</v>
      </c>
      <c r="H375" s="13" t="str">
        <f aca="false">IFERROR(AVERAGEIFS(Spots!$K:$K,Spots!$C:$C,$A375,Spots!$F:$F,"Posted"),"")</f>
        <v/>
      </c>
      <c r="I375" s="14"/>
    </row>
    <row r="376" customFormat="false" ht="15" hidden="false" customHeight="false" outlineLevel="0" collapsed="false">
      <c r="A376" s="12"/>
      <c r="B376" s="14"/>
      <c r="C376" s="12"/>
      <c r="D376" s="12"/>
      <c r="E376" s="14"/>
      <c r="F376" s="12"/>
      <c r="G376" s="12" t="n">
        <f aca="false">COUNTIF(Spots!$C:$C,$A376)</f>
        <v>0</v>
      </c>
      <c r="H376" s="13" t="str">
        <f aca="false">IFERROR(AVERAGEIFS(Spots!$K:$K,Spots!$C:$C,$A376,Spots!$F:$F,"Posted"),"")</f>
        <v/>
      </c>
      <c r="I376" s="14"/>
    </row>
    <row r="377" customFormat="false" ht="15" hidden="false" customHeight="false" outlineLevel="0" collapsed="false">
      <c r="A377" s="12"/>
      <c r="B377" s="14"/>
      <c r="C377" s="12"/>
      <c r="D377" s="12"/>
      <c r="E377" s="14"/>
      <c r="F377" s="12"/>
      <c r="G377" s="12" t="n">
        <f aca="false">COUNTIF(Spots!$C:$C,$A377)</f>
        <v>0</v>
      </c>
      <c r="H377" s="13" t="str">
        <f aca="false">IFERROR(AVERAGEIFS(Spots!$K:$K,Spots!$C:$C,$A377,Spots!$F:$F,"Posted"),"")</f>
        <v/>
      </c>
      <c r="I377" s="14"/>
    </row>
    <row r="378" customFormat="false" ht="15" hidden="false" customHeight="false" outlineLevel="0" collapsed="false">
      <c r="A378" s="12"/>
      <c r="B378" s="14"/>
      <c r="C378" s="12"/>
      <c r="D378" s="12"/>
      <c r="E378" s="14"/>
      <c r="F378" s="12"/>
      <c r="G378" s="12" t="n">
        <f aca="false">COUNTIF(Spots!$C:$C,$A378)</f>
        <v>0</v>
      </c>
      <c r="H378" s="13" t="str">
        <f aca="false">IFERROR(AVERAGEIFS(Spots!$K:$K,Spots!$C:$C,$A378,Spots!$F:$F,"Posted"),"")</f>
        <v/>
      </c>
      <c r="I378" s="14"/>
    </row>
    <row r="379" customFormat="false" ht="15" hidden="false" customHeight="false" outlineLevel="0" collapsed="false">
      <c r="A379" s="12"/>
      <c r="B379" s="14"/>
      <c r="C379" s="12"/>
      <c r="D379" s="12"/>
      <c r="E379" s="14"/>
      <c r="F379" s="12"/>
      <c r="G379" s="12" t="n">
        <f aca="false">COUNTIF(Spots!$C:$C,$A379)</f>
        <v>0</v>
      </c>
      <c r="H379" s="13" t="str">
        <f aca="false">IFERROR(AVERAGEIFS(Spots!$K:$K,Spots!$C:$C,$A379,Spots!$F:$F,"Posted"),"")</f>
        <v/>
      </c>
      <c r="I379" s="14"/>
    </row>
    <row r="380" customFormat="false" ht="15" hidden="false" customHeight="false" outlineLevel="0" collapsed="false">
      <c r="A380" s="12"/>
      <c r="B380" s="14"/>
      <c r="C380" s="12"/>
      <c r="D380" s="12"/>
      <c r="E380" s="14"/>
      <c r="F380" s="12"/>
      <c r="G380" s="12" t="n">
        <f aca="false">COUNTIF(Spots!$C:$C,$A380)</f>
        <v>0</v>
      </c>
      <c r="H380" s="13" t="str">
        <f aca="false">IFERROR(AVERAGEIFS(Spots!$K:$K,Spots!$C:$C,$A380,Spots!$F:$F,"Posted"),"")</f>
        <v/>
      </c>
      <c r="I380" s="14"/>
    </row>
    <row r="381" customFormat="false" ht="15" hidden="false" customHeight="false" outlineLevel="0" collapsed="false">
      <c r="A381" s="12"/>
      <c r="B381" s="14"/>
      <c r="C381" s="12"/>
      <c r="D381" s="12"/>
      <c r="E381" s="14"/>
      <c r="F381" s="12"/>
      <c r="G381" s="12" t="n">
        <f aca="false">COUNTIF(Spots!$C:$C,$A381)</f>
        <v>0</v>
      </c>
      <c r="H381" s="13" t="str">
        <f aca="false">IFERROR(AVERAGEIFS(Spots!$K:$K,Spots!$C:$C,$A381,Spots!$F:$F,"Posted"),"")</f>
        <v/>
      </c>
      <c r="I381" s="14"/>
    </row>
    <row r="382" customFormat="false" ht="15" hidden="false" customHeight="false" outlineLevel="0" collapsed="false">
      <c r="A382" s="12"/>
      <c r="B382" s="14"/>
      <c r="C382" s="12"/>
      <c r="D382" s="12"/>
      <c r="E382" s="14"/>
      <c r="F382" s="12"/>
      <c r="G382" s="12" t="n">
        <f aca="false">COUNTIF(Spots!$C:$C,$A382)</f>
        <v>0</v>
      </c>
      <c r="H382" s="13" t="str">
        <f aca="false">IFERROR(AVERAGEIFS(Spots!$K:$K,Spots!$C:$C,$A382,Spots!$F:$F,"Posted"),"")</f>
        <v/>
      </c>
      <c r="I382" s="14"/>
    </row>
    <row r="383" customFormat="false" ht="15" hidden="false" customHeight="false" outlineLevel="0" collapsed="false">
      <c r="A383" s="12"/>
      <c r="B383" s="14"/>
      <c r="C383" s="12"/>
      <c r="D383" s="12"/>
      <c r="E383" s="14"/>
      <c r="F383" s="12"/>
      <c r="G383" s="12" t="n">
        <f aca="false">COUNTIF(Spots!$C:$C,$A383)</f>
        <v>0</v>
      </c>
      <c r="H383" s="13" t="str">
        <f aca="false">IFERROR(AVERAGEIFS(Spots!$K:$K,Spots!$C:$C,$A383,Spots!$F:$F,"Posted"),"")</f>
        <v/>
      </c>
      <c r="I383" s="14"/>
    </row>
    <row r="384" customFormat="false" ht="15" hidden="false" customHeight="false" outlineLevel="0" collapsed="false">
      <c r="A384" s="12"/>
      <c r="B384" s="14"/>
      <c r="C384" s="12"/>
      <c r="D384" s="12"/>
      <c r="E384" s="14"/>
      <c r="F384" s="12"/>
      <c r="G384" s="12" t="n">
        <f aca="false">COUNTIF(Spots!$C:$C,$A384)</f>
        <v>0</v>
      </c>
      <c r="H384" s="13" t="str">
        <f aca="false">IFERROR(AVERAGEIFS(Spots!$K:$K,Spots!$C:$C,$A384,Spots!$F:$F,"Posted"),"")</f>
        <v/>
      </c>
      <c r="I384" s="14"/>
    </row>
    <row r="385" customFormat="false" ht="15" hidden="false" customHeight="false" outlineLevel="0" collapsed="false">
      <c r="A385" s="12"/>
      <c r="B385" s="14"/>
      <c r="C385" s="12"/>
      <c r="D385" s="12"/>
      <c r="E385" s="14"/>
      <c r="F385" s="12"/>
      <c r="G385" s="12" t="n">
        <f aca="false">COUNTIF(Spots!$C:$C,$A385)</f>
        <v>0</v>
      </c>
      <c r="H385" s="13" t="str">
        <f aca="false">IFERROR(AVERAGEIFS(Spots!$K:$K,Spots!$C:$C,$A385,Spots!$F:$F,"Posted"),"")</f>
        <v/>
      </c>
      <c r="I385" s="14"/>
    </row>
    <row r="386" customFormat="false" ht="15" hidden="false" customHeight="false" outlineLevel="0" collapsed="false">
      <c r="A386" s="12"/>
      <c r="B386" s="14"/>
      <c r="C386" s="12"/>
      <c r="D386" s="12"/>
      <c r="E386" s="14"/>
      <c r="F386" s="12"/>
      <c r="G386" s="12" t="n">
        <f aca="false">COUNTIF(Spots!$C:$C,$A386)</f>
        <v>0</v>
      </c>
      <c r="H386" s="13" t="str">
        <f aca="false">IFERROR(AVERAGEIFS(Spots!$K:$K,Spots!$C:$C,$A386,Spots!$F:$F,"Posted"),"")</f>
        <v/>
      </c>
      <c r="I386" s="14"/>
    </row>
    <row r="387" customFormat="false" ht="15" hidden="false" customHeight="false" outlineLevel="0" collapsed="false">
      <c r="A387" s="12"/>
      <c r="B387" s="14"/>
      <c r="C387" s="12"/>
      <c r="D387" s="12"/>
      <c r="E387" s="14"/>
      <c r="F387" s="12"/>
      <c r="G387" s="12" t="n">
        <f aca="false">COUNTIF(Spots!$C:$C,$A387)</f>
        <v>0</v>
      </c>
      <c r="H387" s="13" t="str">
        <f aca="false">IFERROR(AVERAGEIFS(Spots!$K:$K,Spots!$C:$C,$A387,Spots!$F:$F,"Posted"),"")</f>
        <v/>
      </c>
      <c r="I387" s="14"/>
    </row>
    <row r="388" customFormat="false" ht="15" hidden="false" customHeight="false" outlineLevel="0" collapsed="false">
      <c r="A388" s="12"/>
      <c r="B388" s="14"/>
      <c r="C388" s="12"/>
      <c r="D388" s="12"/>
      <c r="E388" s="14"/>
      <c r="F388" s="12"/>
      <c r="G388" s="12" t="n">
        <f aca="false">COUNTIF(Spots!$C:$C,$A388)</f>
        <v>0</v>
      </c>
      <c r="H388" s="13" t="str">
        <f aca="false">IFERROR(AVERAGEIFS(Spots!$K:$K,Spots!$C:$C,$A388,Spots!$F:$F,"Posted"),"")</f>
        <v/>
      </c>
      <c r="I388" s="14"/>
    </row>
    <row r="389" customFormat="false" ht="15" hidden="false" customHeight="false" outlineLevel="0" collapsed="false">
      <c r="A389" s="12"/>
      <c r="B389" s="14"/>
      <c r="C389" s="12"/>
      <c r="D389" s="12"/>
      <c r="E389" s="14"/>
      <c r="F389" s="12"/>
      <c r="G389" s="12" t="n">
        <f aca="false">COUNTIF(Spots!$C:$C,$A389)</f>
        <v>0</v>
      </c>
      <c r="H389" s="13" t="str">
        <f aca="false">IFERROR(AVERAGEIFS(Spots!$K:$K,Spots!$C:$C,$A389,Spots!$F:$F,"Posted"),"")</f>
        <v/>
      </c>
      <c r="I389" s="14"/>
    </row>
    <row r="390" customFormat="false" ht="15" hidden="false" customHeight="false" outlineLevel="0" collapsed="false">
      <c r="A390" s="12"/>
      <c r="B390" s="14"/>
      <c r="C390" s="12"/>
      <c r="D390" s="12"/>
      <c r="E390" s="14"/>
      <c r="F390" s="12"/>
      <c r="G390" s="12" t="n">
        <f aca="false">COUNTIF(Spots!$C:$C,$A390)</f>
        <v>0</v>
      </c>
      <c r="H390" s="13" t="str">
        <f aca="false">IFERROR(AVERAGEIFS(Spots!$K:$K,Spots!$C:$C,$A390,Spots!$F:$F,"Posted"),"")</f>
        <v/>
      </c>
      <c r="I390" s="14"/>
    </row>
    <row r="391" customFormat="false" ht="15" hidden="false" customHeight="false" outlineLevel="0" collapsed="false">
      <c r="A391" s="12"/>
      <c r="B391" s="14"/>
      <c r="C391" s="12"/>
      <c r="D391" s="12"/>
      <c r="E391" s="14"/>
      <c r="F391" s="12"/>
      <c r="G391" s="12" t="n">
        <f aca="false">COUNTIF(Spots!$C:$C,$A391)</f>
        <v>0</v>
      </c>
      <c r="H391" s="13" t="str">
        <f aca="false">IFERROR(AVERAGEIFS(Spots!$K:$K,Spots!$C:$C,$A391,Spots!$F:$F,"Posted"),"")</f>
        <v/>
      </c>
      <c r="I391" s="14"/>
    </row>
    <row r="392" customFormat="false" ht="15" hidden="false" customHeight="false" outlineLevel="0" collapsed="false">
      <c r="A392" s="12"/>
      <c r="B392" s="14"/>
      <c r="C392" s="12"/>
      <c r="D392" s="12"/>
      <c r="E392" s="14"/>
      <c r="F392" s="12"/>
      <c r="G392" s="12" t="n">
        <f aca="false">COUNTIF(Spots!$C:$C,$A392)</f>
        <v>0</v>
      </c>
      <c r="H392" s="13" t="str">
        <f aca="false">IFERROR(AVERAGEIFS(Spots!$K:$K,Spots!$C:$C,$A392,Spots!$F:$F,"Posted"),"")</f>
        <v/>
      </c>
      <c r="I392" s="14"/>
    </row>
    <row r="393" customFormat="false" ht="15" hidden="false" customHeight="false" outlineLevel="0" collapsed="false">
      <c r="A393" s="12"/>
      <c r="B393" s="14"/>
      <c r="C393" s="12"/>
      <c r="D393" s="12"/>
      <c r="E393" s="14"/>
      <c r="F393" s="12"/>
      <c r="G393" s="12" t="n">
        <f aca="false">COUNTIF(Spots!$C:$C,$A393)</f>
        <v>0</v>
      </c>
      <c r="H393" s="13" t="str">
        <f aca="false">IFERROR(AVERAGEIFS(Spots!$K:$K,Spots!$C:$C,$A393,Spots!$F:$F,"Posted"),"")</f>
        <v/>
      </c>
      <c r="I393" s="14"/>
    </row>
    <row r="394" customFormat="false" ht="15" hidden="false" customHeight="false" outlineLevel="0" collapsed="false">
      <c r="A394" s="12"/>
      <c r="B394" s="14"/>
      <c r="C394" s="12"/>
      <c r="D394" s="12"/>
      <c r="E394" s="14"/>
      <c r="F394" s="12"/>
      <c r="G394" s="12" t="n">
        <f aca="false">COUNTIF(Spots!$C:$C,$A394)</f>
        <v>0</v>
      </c>
      <c r="H394" s="13" t="str">
        <f aca="false">IFERROR(AVERAGEIFS(Spots!$K:$K,Spots!$C:$C,$A394,Spots!$F:$F,"Posted"),"")</f>
        <v/>
      </c>
      <c r="I394" s="14"/>
    </row>
    <row r="395" customFormat="false" ht="15" hidden="false" customHeight="false" outlineLevel="0" collapsed="false">
      <c r="A395" s="12"/>
      <c r="B395" s="14"/>
      <c r="C395" s="12"/>
      <c r="D395" s="12"/>
      <c r="E395" s="14"/>
      <c r="F395" s="12"/>
      <c r="G395" s="12" t="n">
        <f aca="false">COUNTIF(Spots!$C:$C,$A395)</f>
        <v>0</v>
      </c>
      <c r="H395" s="13" t="str">
        <f aca="false">IFERROR(AVERAGEIFS(Spots!$K:$K,Spots!$C:$C,$A395,Spots!$F:$F,"Posted"),"")</f>
        <v/>
      </c>
      <c r="I395" s="14"/>
    </row>
    <row r="396" customFormat="false" ht="15" hidden="false" customHeight="false" outlineLevel="0" collapsed="false">
      <c r="A396" s="12"/>
      <c r="B396" s="14"/>
      <c r="C396" s="12"/>
      <c r="D396" s="12"/>
      <c r="E396" s="14"/>
      <c r="F396" s="12"/>
      <c r="G396" s="12" t="n">
        <f aca="false">COUNTIF(Spots!$C:$C,$A396)</f>
        <v>0</v>
      </c>
      <c r="H396" s="13" t="str">
        <f aca="false">IFERROR(AVERAGEIFS(Spots!$K:$K,Spots!$C:$C,$A396,Spots!$F:$F,"Posted"),"")</f>
        <v/>
      </c>
      <c r="I396" s="14"/>
    </row>
    <row r="397" customFormat="false" ht="15" hidden="false" customHeight="false" outlineLevel="0" collapsed="false">
      <c r="A397" s="12"/>
      <c r="B397" s="14"/>
      <c r="C397" s="12"/>
      <c r="D397" s="12"/>
      <c r="E397" s="14"/>
      <c r="F397" s="12"/>
      <c r="G397" s="12" t="n">
        <f aca="false">COUNTIF(Spots!$C:$C,$A397)</f>
        <v>0</v>
      </c>
      <c r="H397" s="13" t="str">
        <f aca="false">IFERROR(AVERAGEIFS(Spots!$K:$K,Spots!$C:$C,$A397,Spots!$F:$F,"Posted"),"")</f>
        <v/>
      </c>
      <c r="I397" s="14"/>
    </row>
    <row r="398" customFormat="false" ht="15" hidden="false" customHeight="false" outlineLevel="0" collapsed="false">
      <c r="A398" s="12"/>
      <c r="B398" s="14"/>
      <c r="C398" s="12"/>
      <c r="D398" s="12"/>
      <c r="E398" s="14"/>
      <c r="F398" s="12"/>
      <c r="G398" s="12" t="n">
        <f aca="false">COUNTIF(Spots!$C:$C,$A398)</f>
        <v>0</v>
      </c>
      <c r="H398" s="13" t="str">
        <f aca="false">IFERROR(AVERAGEIFS(Spots!$K:$K,Spots!$C:$C,$A398,Spots!$F:$F,"Posted"),"")</f>
        <v/>
      </c>
      <c r="I398" s="14"/>
    </row>
    <row r="399" customFormat="false" ht="15" hidden="false" customHeight="false" outlineLevel="0" collapsed="false">
      <c r="A399" s="12"/>
      <c r="B399" s="14"/>
      <c r="C399" s="12"/>
      <c r="D399" s="12"/>
      <c r="E399" s="14"/>
      <c r="F399" s="12"/>
      <c r="G399" s="12" t="n">
        <f aca="false">COUNTIF(Spots!$C:$C,$A399)</f>
        <v>0</v>
      </c>
      <c r="H399" s="13" t="str">
        <f aca="false">IFERROR(AVERAGEIFS(Spots!$K:$K,Spots!$C:$C,$A399,Spots!$F:$F,"Posted"),"")</f>
        <v/>
      </c>
      <c r="I399" s="14"/>
    </row>
    <row r="400" customFormat="false" ht="15" hidden="false" customHeight="false" outlineLevel="0" collapsed="false">
      <c r="A400" s="12"/>
      <c r="B400" s="14"/>
      <c r="C400" s="12"/>
      <c r="D400" s="12"/>
      <c r="E400" s="14"/>
      <c r="F400" s="12"/>
      <c r="G400" s="12" t="n">
        <f aca="false">COUNTIF(Spots!$C:$C,$A400)</f>
        <v>0</v>
      </c>
      <c r="H400" s="13" t="str">
        <f aca="false">IFERROR(AVERAGEIFS(Spots!$K:$K,Spots!$C:$C,$A400,Spots!$F:$F,"Posted"),"")</f>
        <v/>
      </c>
      <c r="I400" s="14"/>
    </row>
    <row r="401" customFormat="false" ht="15" hidden="false" customHeight="false" outlineLevel="0" collapsed="false">
      <c r="A401" s="12"/>
      <c r="B401" s="14"/>
      <c r="C401" s="12"/>
      <c r="D401" s="12"/>
      <c r="E401" s="14"/>
      <c r="F401" s="12"/>
      <c r="G401" s="12" t="n">
        <f aca="false">COUNTIF(Spots!$C:$C,$A401)</f>
        <v>0</v>
      </c>
      <c r="H401" s="13" t="str">
        <f aca="false">IFERROR(AVERAGEIFS(Spots!$K:$K,Spots!$C:$C,$A401,Spots!$F:$F,"Posted"),"")</f>
        <v/>
      </c>
      <c r="I401" s="14"/>
    </row>
  </sheetData>
  <autoFilter ref="A1:I401"/>
  <conditionalFormatting sqref="K2">
    <cfRule type="cellIs" priority="2" operator="lessThan" aboveAverage="0" equalAverage="0" bottom="0" percent="0" rank="0" text="" dxfId="16">
      <formula>30</formula>
    </cfRule>
  </conditionalFormatting>
  <dataValidations count="3">
    <dataValidation allowBlank="true" errorStyle="stop" operator="between" showDropDown="false" showErrorMessage="false" showInputMessage="false" sqref="C2:C401" type="list">
      <formula1>Ref!$C$4:$C$6</formula1>
      <formula2>0</formula2>
    </dataValidation>
    <dataValidation allowBlank="true" errorStyle="stop" operator="between" showDropDown="false" showErrorMessage="false" showInputMessage="false" sqref="D2:D401" type="list">
      <formula1>Ref!$D$4:$D$6</formula1>
      <formula2>0</formula2>
    </dataValidation>
    <dataValidation allowBlank="true" errorStyle="stop" operator="between" showDropDown="false" showErrorMessage="false" showInputMessage="false" sqref="F2:F401" type="list">
      <formula1>Ref!$A$4:$A$8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"/>
    <col collapsed="false" customWidth="true" hidden="false" outlineLevel="0" max="7" min="3" style="0" width="22"/>
  </cols>
  <sheetData>
    <row r="1" customFormat="false" ht="15" hidden="false" customHeight="false" outlineLevel="0" collapsed="false">
      <c r="A1" s="25" t="s">
        <v>100</v>
      </c>
    </row>
    <row r="3" customFormat="false" ht="15" hidden="false" customHeight="false" outlineLevel="0" collapsed="false">
      <c r="A3" s="3" t="s">
        <v>28</v>
      </c>
      <c r="C3" s="3" t="s">
        <v>71</v>
      </c>
      <c r="D3" s="3" t="s">
        <v>72</v>
      </c>
      <c r="E3" s="3" t="s">
        <v>101</v>
      </c>
      <c r="F3" s="3" t="s">
        <v>102</v>
      </c>
      <c r="G3" s="3" t="s">
        <v>38</v>
      </c>
    </row>
    <row r="4" customFormat="false" ht="15" hidden="false" customHeight="false" outlineLevel="0" collapsed="false">
      <c r="A4" s="0" t="s">
        <v>49</v>
      </c>
      <c r="C4" s="0" t="s">
        <v>103</v>
      </c>
      <c r="D4" s="0" t="s">
        <v>83</v>
      </c>
      <c r="E4" s="0" t="s">
        <v>104</v>
      </c>
      <c r="F4" s="0" t="s">
        <v>105</v>
      </c>
      <c r="G4" s="0" t="s">
        <v>106</v>
      </c>
    </row>
    <row r="5" customFormat="false" ht="15" hidden="false" customHeight="false" outlineLevel="0" collapsed="false">
      <c r="A5" s="0" t="s">
        <v>42</v>
      </c>
      <c r="C5" s="0" t="s">
        <v>79</v>
      </c>
      <c r="D5" s="0" t="s">
        <v>80</v>
      </c>
      <c r="E5" s="0" t="s">
        <v>107</v>
      </c>
      <c r="F5" s="0" t="s">
        <v>108</v>
      </c>
      <c r="G5" s="0" t="s">
        <v>106</v>
      </c>
    </row>
    <row r="6" customFormat="false" ht="15" hidden="false" customHeight="false" outlineLevel="0" collapsed="false">
      <c r="A6" s="0" t="s">
        <v>109</v>
      </c>
      <c r="C6" s="0" t="s">
        <v>87</v>
      </c>
      <c r="D6" s="0" t="s">
        <v>91</v>
      </c>
      <c r="E6" s="0" t="s">
        <v>19</v>
      </c>
      <c r="F6" s="0" t="s">
        <v>56</v>
      </c>
      <c r="G6" s="0" t="s">
        <v>110</v>
      </c>
    </row>
    <row r="7" customFormat="false" ht="15" hidden="false" customHeight="false" outlineLevel="0" collapsed="false">
      <c r="A7" s="0" t="s">
        <v>111</v>
      </c>
      <c r="E7" s="0" t="s">
        <v>112</v>
      </c>
      <c r="F7" s="0" t="s">
        <v>50</v>
      </c>
      <c r="G7" s="0" t="s">
        <v>110</v>
      </c>
    </row>
    <row r="8" customFormat="false" ht="15" hidden="false" customHeight="false" outlineLevel="0" collapsed="false">
      <c r="A8" s="0" t="s">
        <v>55</v>
      </c>
      <c r="E8" s="0" t="s">
        <v>113</v>
      </c>
      <c r="F8" s="0" t="s">
        <v>114</v>
      </c>
      <c r="G8" s="0" t="s">
        <v>106</v>
      </c>
    </row>
    <row r="9" customFormat="false" ht="15" hidden="false" customHeight="false" outlineLevel="0" collapsed="false">
      <c r="F9" s="0" t="s">
        <v>43</v>
      </c>
      <c r="G9" s="0" t="s">
        <v>106</v>
      </c>
    </row>
    <row r="10" customFormat="false" ht="15" hidden="false" customHeight="false" outlineLevel="0" collapsed="false">
      <c r="F10" s="0" t="s">
        <v>20</v>
      </c>
      <c r="G10" s="0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2026-08-24T12:58:26Z</dcterms:created>
  <dc:creator>openpyxl</dc:creator>
  <dc:description/>
  <dc:language>en-US</dc:language>
  <cp:lastModifiedBy/>
  <dcterms:modified xsi:type="dcterms:W3CDTF">2026-08-24T12:58:26Z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